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ssions" sheetId="2" state="visible" r:id="rId4"/>
    <sheet name="Pages" sheetId="3" state="visible" r:id="rId5"/>
    <sheet name="Daily" sheetId="4" state="visible" r:id="rId6"/>
    <sheet name="Weekly" sheetId="5" state="visible" r:id="rId7"/>
    <sheet name="Referrers" sheetId="6" state="visible" r:id="rId8"/>
  </sheets>
  <definedNames>
    <definedName function="false" hidden="true" localSheetId="3" name="_xlnm._FilterDatabase" vbProcedure="false">Daily!$A$1:$Q$122</definedName>
    <definedName function="false" hidden="true" localSheetId="2" name="_xlnm._FilterDatabase" vbProcedure="false">Pages!$A$1:$R$105</definedName>
    <definedName function="false" hidden="true" localSheetId="1" name="_xlnm._FilterDatabase" vbProcedure="false">Sessions!$A$1:$J$405</definedName>
    <definedName function="false" hidden="true" localSheetId="4" name="_xlnm._FilterDatabase" vbProcedure="false">Weekly!$A$1:$N$19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<sst xmlns="http://schemas.openxmlformats.org/spreadsheetml/2006/main" count="3965" uniqueCount="496">
  <si>
    <t xml:space="preserve">IP First Response: AI referral and citation analysis</t>
  </si>
  <si>
    <t xml:space="preserve">Built 11 Sep 2026 from three exports. Every figure below is a live formula over the Sessions, Pages and Daily tabs, so filtering or correcting a source row reflows the whole workbook.</t>
  </si>
  <si>
    <t xml:space="preserve">Headline numbers</t>
  </si>
  <si>
    <t xml:space="preserve">Bing AI citations (by page)</t>
  </si>
  <si>
    <t xml:space="preserve">Sessions from AI assistants</t>
  </si>
  <si>
    <t xml:space="preserve">Overall CTR, all AI referrers</t>
  </si>
  <si>
    <t xml:space="preserve">Overall CTR, Copilot sessions only</t>
  </si>
  <si>
    <t xml:space="preserve">Same CTR using the daily citation total</t>
  </si>
  <si>
    <t xml:space="preserve">Pages cited by Bing AI</t>
  </si>
  <si>
    <t xml:space="preserve">Pages with AI referral landings</t>
  </si>
  <si>
    <t xml:space="preserve">What each tab holds</t>
  </si>
  <si>
    <t xml:space="preserve">README</t>
  </si>
  <si>
    <t xml:space="preserve">This page. Definitions, join logic and the caveats that change how the numbers should be read.</t>
  </si>
  <si>
    <t xml:space="preserve">Pages</t>
  </si>
  <si>
    <t xml:space="preserve">One row per canonical URL, outer joined across both sources. This is the CTR-per-page view. The totals row uses SUBTOTAL, so filter by section or match status and the CTR at the bottom recalculates for that slice.</t>
  </si>
  <si>
    <t xml:space="preserve">Daily</t>
  </si>
  <si>
    <t xml:space="preserve">One row per calendar day across the full union of both date ranges, with citations, sessions and CTR. Date parts are pre-split into year, month, ISO week and weekday so no date maths is needed to pivot.</t>
  </si>
  <si>
    <t xml:space="preserve">Weekly</t>
  </si>
  <si>
    <t xml:space="preserve">ISO weeks, Monday start, rolled up from Daily with SUMIFS.</t>
  </si>
  <si>
    <t xml:space="preserve">Referrers</t>
  </si>
  <si>
    <t xml:space="preserve">Sessions by assistant.</t>
  </si>
  <si>
    <t xml:space="preserve">Sessions</t>
  </si>
  <si>
    <t xml:space="preserve">The cleaned Mixpanel extract at page-by-day-by-referrer grain. Raw landing URL is kept next to the canonical one so any normalisation can be audited.</t>
  </si>
  <si>
    <t xml:space="preserve">How the sources were joined</t>
  </si>
  <si>
    <t xml:space="preserve">Join key</t>
  </si>
  <si>
    <t xml:space="preserve">Canonical URL: scheme and host lowercased, query string and fragment removed, trailing slash stripped. Host is retained, so the chat subdomain stays a separate page.</t>
  </si>
  <si>
    <t xml:space="preserve">Why that matters</t>
  </si>
  <si>
    <t xml:space="preserve">Mixpanel landing URLs carry utm_source, _gl, utm_content and fragment noise, and several are truncated mid-parameter. Bing reports clean URLs. Without normalisation roughly a third of ChatGPT landings would not have matched their own Bing row.</t>
  </si>
  <si>
    <t xml:space="preserve">Grain limits</t>
  </si>
  <si>
    <t xml:space="preserve">Bing gives citations by day OR by page, never both at once. So page-level CTR has no time dimension and daily CTR has no page dimension. A page-by-day citation figure cannot be derived from these exports and is not in this workbook.</t>
  </si>
  <si>
    <t xml:space="preserve">Read these before quoting a CTR</t>
  </si>
  <si>
    <t xml:space="preserve">The numerator and denominator are different populations</t>
  </si>
  <si>
    <t xml:space="preserve">Bing's AI Performance report counts citations in Microsoft Copilot, Bing AI summaries and its partner integrations. The Mixpanel sessions are overwhelmingly ChatGPT. Treat the headline CTR as a rough visibility-to-traffic yield, not a real click-through rate. The Copilot-only CTR is the apples-to-apples version, but it rests on very few sessions.</t>
  </si>
  <si>
    <t xml:space="preserve">The two Bing exports do not reconcile</t>
  </si>
  <si>
    <t xml:space="preserve">Citations summed by day and citations summed by page differ by about 12 percent. Same report, same nominal window, different totals. Worth checking whether the per-page export is capped or truncated before either number goes in a deck.</t>
  </si>
  <si>
    <t xml:space="preserve">One day is an outlier</t>
  </si>
  <si>
    <t xml:space="preserve">30 July 2026 records roughly six times the typical daily citation count. It moves both the monthly and the all-period CTR. Decide whether to keep or exclude it before reporting a trend.</t>
  </si>
  <si>
    <t xml:space="preserve">Date ranges differ</t>
  </si>
  <si>
    <t xml:space="preserve">Bing daily data runs 14 May to 8 Sep 2026. Mixpanel sessions run 15 May to 11 Sep 2026. The Daily tab spans the union and flags each day in the source coverage column. Filter to 'both' before comparing the two series.</t>
  </si>
  <si>
    <t xml:space="preserve">Sessions are first-touch only</t>
  </si>
  <si>
    <t xml:space="preserve">Mixpanel reports the initial referrer and the landing page of the session. A user who arrives from ChatGPT and then reads four more pages counts once, against the first page.</t>
  </si>
  <si>
    <t xml:space="preserve">Truncated links produce 404s</t>
  </si>
  <si>
    <t xml:space="preserve">Two ChatGPT landings hit a URL cut off mid-slug and served the 404 page. Small volume, but it points at links being emitted with a malformed path.</t>
  </si>
  <si>
    <t xml:space="preserve">Two ways to average a CTR</t>
  </si>
  <si>
    <t xml:space="preserve">Weekly totals (Weekly column K)</t>
  </si>
  <si>
    <t xml:space="preserve">Total sessions for the week divided by total citations for the week. High-citation days dominate. Use this when the question is about aggregate yield.</t>
  </si>
  <si>
    <t xml:space="preserve">Mean of daily CTRs (Weekly column L)</t>
  </si>
  <si>
    <t xml:space="preserve">Each day weighted equally regardless of volume. Use this when the question is about a typical day. The two diverge whenever daily volume is uneven, which here it is.</t>
  </si>
  <si>
    <t xml:space="preserve">date</t>
  </si>
  <si>
    <t xml:space="preserve">referrer</t>
  </si>
  <si>
    <t xml:space="preserve">page_title</t>
  </si>
  <si>
    <t xml:space="preserve">canonical_url</t>
  </si>
  <si>
    <t xml:space="preserve">path</t>
  </si>
  <si>
    <t xml:space="preserve">section</t>
  </si>
  <si>
    <t xml:space="preserve">raw_landing_url</t>
  </si>
  <si>
    <t xml:space="preserve">had_tracking_params</t>
  </si>
  <si>
    <t xml:space="preserve">sessions</t>
  </si>
  <si>
    <t xml:space="preserve">first row for page+date</t>
  </si>
  <si>
    <t xml:space="preserve">Claude</t>
  </si>
  <si>
    <t xml:space="preserve">Unregistered trade marks</t>
  </si>
  <si>
    <t xml:space="preserve">https://ipfirstresponse.ipaustralia.gov.au/options/infringement-101-unregistered-trade-marks</t>
  </si>
  <si>
    <t xml:space="preserve">/options/infringement-101-unregistered-trade-marks</t>
  </si>
  <si>
    <t xml:space="preserve">options</t>
  </si>
  <si>
    <t xml:space="preserve">no</t>
  </si>
  <si>
    <t xml:space="preserve">ChatGPT</t>
  </si>
  <si>
    <t xml:space="preserve">Considerations when using artificial intelligence to create IP</t>
  </si>
  <si>
    <t xml:space="preserve">https://ipfirstresponse.ipaustralia.gov.au/options/considerations-when-using-artificial-intelligence-create-ip-0</t>
  </si>
  <si>
    <t xml:space="preserve">/options/considerations-when-using-artificial-intelligence-create-ip-0</t>
  </si>
  <si>
    <t xml:space="preserve">Register your trade mark</t>
  </si>
  <si>
    <t xml:space="preserve">https://ipfirstresponse.ipaustralia.gov.au/options/register-your-trade-mark</t>
  </si>
  <si>
    <t xml:space="preserve">/options/register-your-trade-mark</t>
  </si>
  <si>
    <t xml:space="preserve">Design infringement</t>
  </si>
  <si>
    <t xml:space="preserve">https://ipfirstresponse.ipaustralia.gov.au/options/infringement-101-design-infringement</t>
  </si>
  <si>
    <t xml:space="preserve">/options/infringement-101-design-infringement</t>
  </si>
  <si>
    <t xml:space="preserve">https://ipfirstresponse.ipaustralia.gov.au/options/infringement-101-design-infringement?utm_</t>
  </si>
  <si>
    <t xml:space="preserve">yes</t>
  </si>
  <si>
    <t xml:space="preserve">https://ipfirstresponse.ipaustralia.gov.au/options/infringement-101-design-infringement?utm_source=chatgpt.com</t>
  </si>
  <si>
    <t xml:space="preserve">https://ipfirstresponse.ipaustralia.gov.au/options/infringement-101-unregistered-trade-marks?utm_source=chatgpt.com</t>
  </si>
  <si>
    <t xml:space="preserve">Is my business name my IP?</t>
  </si>
  <si>
    <t xml:space="preserve">https://ipfirstresponse.ipaustralia.gov.au/options/my-business-name-my-ip</t>
  </si>
  <si>
    <t xml:space="preserve">/options/my-business-name-my-ip</t>
  </si>
  <si>
    <t xml:space="preserve">https://ipfirstresponse.ipaustralia.gov.au/options/my-business-name-my-ip?utm_source=chatgpt.com</t>
  </si>
  <si>
    <t xml:space="preserve">Stop infringing goods entering the country</t>
  </si>
  <si>
    <t xml:space="preserve">https://ipfirstresponse.ipaustralia.gov.au/options/stop-infringing-goods-entering-country</t>
  </si>
  <si>
    <t xml:space="preserve">/options/stop-infringing-goods-entering-country</t>
  </si>
  <si>
    <t xml:space="preserve">https://ipfirstresponse.ipaustralia.gov.au/options/stop-infringing-goods-entering-country?utm_source=chatgpt.com</t>
  </si>
  <si>
    <t xml:space="preserve">Copilot</t>
  </si>
  <si>
    <t xml:space="preserve">Challenge a new or amended patent</t>
  </si>
  <si>
    <t xml:space="preserve">https://ipfirstresponse.ipaustralia.gov.au/options/challenge-new-or-amended-patent</t>
  </si>
  <si>
    <t xml:space="preserve">/options/challenge-new-or-amended-patent</t>
  </si>
  <si>
    <t xml:space="preserve">https://ipfirstresponse.ipaustralia.gov.au/options/challenge-new-or-amended-patent?utm_source=copilot.com</t>
  </si>
  <si>
    <t xml:space="preserve">Tips and tricks for searching for an existing right</t>
  </si>
  <si>
    <t xml:space="preserve">https://ipfirstresponse.ipaustralia.gov.au/tips-and-tricks-searching-existing-right</t>
  </si>
  <si>
    <t xml:space="preserve">/tips-and-tricks-searching-existing-right</t>
  </si>
  <si>
    <t xml:space="preserve">(top level)</t>
  </si>
  <si>
    <t xml:space="preserve">Seek binding, authoritative decisions</t>
  </si>
  <si>
    <t xml:space="preserve">https://ipfirstresponse.ipaustralia.gov.au/options/court-patents</t>
  </si>
  <si>
    <t xml:space="preserve">/options/court-patents</t>
  </si>
  <si>
    <t xml:space="preserve">Gemini</t>
  </si>
  <si>
    <t xml:space="preserve">Navigator Tool - Suspected Infringement</t>
  </si>
  <si>
    <t xml:space="preserve">https://ipfirstresponse.ipaustralia.gov.au/navigator-tool</t>
  </si>
  <si>
    <t xml:space="preserve">/navigator-tool</t>
  </si>
  <si>
    <t xml:space="preserve">Search</t>
  </si>
  <si>
    <t xml:space="preserve">https://ipfirstresponse.ipaustralia.gov.au/site-search</t>
  </si>
  <si>
    <t xml:space="preserve">/site-search</t>
  </si>
  <si>
    <t xml:space="preserve">https://ipfirstresponse.ipaustralia.gov.au/site-search?search_api_fulltext=Tarazed+Travels</t>
  </si>
  <si>
    <t xml:space="preserve">Copyright licensing and rights management organisations in Australia</t>
  </si>
  <si>
    <t xml:space="preserve">https://ipfirstresponse.ipaustralia.gov.au/blogs/copyright-licensing-and-rights-management-organisations-australia</t>
  </si>
  <si>
    <t xml:space="preserve">/blogs/copyright-licensing-and-rights-management-organisations-australia</t>
  </si>
  <si>
    <t xml:space="preserve">blogs</t>
  </si>
  <si>
    <t xml:space="preserve">https://ipfirstresponse.ipaustralia.gov.au/options/considerations-when-using-artificial-intelligence-create-ip-0?utm_source=chatgpt.com</t>
  </si>
  <si>
    <t xml:space="preserve">https://ipfirstresponse.ipaustralia.gov.au/navigator-tool?utm_content=from101_button_experiment_v1</t>
  </si>
  <si>
    <t xml:space="preserve">Trade mark infringement</t>
  </si>
  <si>
    <t xml:space="preserve">https://ipfirstresponse.ipaustralia.gov.au/options/infringement-101-trade-mark-infringement</t>
  </si>
  <si>
    <t xml:space="preserve">/options/infringement-101-trade-mark-infringement</t>
  </si>
  <si>
    <t xml:space="preserve">https://ipfirstresponse.ipaustralia.gov.au/options/infringement-101-trade-mark-infringement?utm_source=chatgpt.com</t>
  </si>
  <si>
    <t xml:space="preserve">About the AI Chatbot</t>
  </si>
  <si>
    <t xml:space="preserve">https://ipfirstresponse.ipaustralia.gov.au/about-the-chatbot</t>
  </si>
  <si>
    <t xml:space="preserve">/about-the-chatbot</t>
  </si>
  <si>
    <t xml:space="preserve">https://ipfirstresponse.ipaustralia.gov.au/about-the-chatbot?utm_source=chatgpt.com</t>
  </si>
  <si>
    <t xml:space="preserve">Copyright infringement</t>
  </si>
  <si>
    <t xml:space="preserve">https://ipfirstresponse.ipaustralia.gov.au/options/infringement-101-copyright-infringement</t>
  </si>
  <si>
    <t xml:space="preserve">/options/infringement-101-copyright-infringement</t>
  </si>
  <si>
    <t xml:space="preserve">https://ipfirstresponse.ipaustralia.gov.au/options/infringement-101-copyright-infringement?utm_source=chatgpt.com</t>
  </si>
  <si>
    <t xml:space="preserve">How does IP Australia compare to other government services?</t>
  </si>
  <si>
    <t xml:space="preserve">https://ipfirstresponse.ipaustralia.gov.au/options/how-does-ip-australia-compare-other-government-services</t>
  </si>
  <si>
    <t xml:space="preserve">/options/how-does-ip-australia-compare-other-government-services</t>
  </si>
  <si>
    <t xml:space="preserve">https://ipfirstresponse.ipaustralia.gov.au/options/how-does-ip-australia-compare-other-government-services?utm_source=chatgpt.com</t>
  </si>
  <si>
    <t xml:space="preserve">A simple breakdown of names and trade marks</t>
  </si>
  <si>
    <t xml:space="preserve">https://ipfirstresponse.ipaustralia.gov.au/blogs/simple-breakdown-names-and-trade-marks</t>
  </si>
  <si>
    <t xml:space="preserve">/blogs/simple-breakdown-names-and-trade-marks</t>
  </si>
  <si>
    <t xml:space="preserve">https://ipfirstresponse.ipaustralia.gov.au/blogs/simple-breakdown-names-and-trade-marks?utm_source=chatgpt.com</t>
  </si>
  <si>
    <t xml:space="preserve">Chatbot</t>
  </si>
  <si>
    <t xml:space="preserve">https://chat.ipfirstresponse.ipaustralia.gov.au/</t>
  </si>
  <si>
    <t xml:space="preserve">/</t>
  </si>
  <si>
    <t xml:space="preserve">chat subdomain</t>
  </si>
  <si>
    <t xml:space="preserve">Report a scam, fraud or risk to public interest</t>
  </si>
  <si>
    <t xml:space="preserve">https://ipfirstresponse.ipaustralia.gov.au/options/report-scam-fraud-or-risk-public-interest</t>
  </si>
  <si>
    <t xml:space="preserve">/options/report-scam-fraud-or-risk-public-interest</t>
  </si>
  <si>
    <t xml:space="preserve">https://ipfirstresponse.ipaustralia.gov.au/options/considerations-when-using-artificial-intelligence-create-ip-0#</t>
  </si>
  <si>
    <t xml:space="preserve">https://ipfirstresponse.ipaustralia.gov.au/tips-and-tricks-searching-existing-right?utm_source=chatgpt.com</t>
  </si>
  <si>
    <t xml:space="preserve">Inform online platforms that you have IP rights</t>
  </si>
  <si>
    <t xml:space="preserve">https://ipfirstresponse.ipaustralia.gov.au/options/inform-online-platforms-you-have-ip-rights</t>
  </si>
  <si>
    <t xml:space="preserve">/options/inform-online-platforms-you-have-ip-rights</t>
  </si>
  <si>
    <t xml:space="preserve">https://ipfirstresponse.ipaustralia.gov.au/options/inform-online-platforms-you-have-ip-rights?utm_source=chatgpt.com</t>
  </si>
  <si>
    <t xml:space="preserve">Homepage</t>
  </si>
  <si>
    <t xml:space="preserve">https://ipfirstresponse.ipaustralia.gov.au/</t>
  </si>
  <si>
    <t xml:space="preserve">(home)</t>
  </si>
  <si>
    <t xml:space="preserve">I’ve got an ABN and a registered business name – do I need a registered trade mark too?</t>
  </si>
  <si>
    <t xml:space="preserve">https://ipfirstresponse.ipaustralia.gov.au/blogs/ive-got-abn-and-registered-business-name-do-i-need-registered-trade-mark-too</t>
  </si>
  <si>
    <t xml:space="preserve">/blogs/ive-got-abn-and-registered-business-name-do-i-need-registered-trade-mark-too</t>
  </si>
  <si>
    <t xml:space="preserve">https://ipfirstresponse.ipaustralia.gov.au/blogs/ive-got-abn-and-registered-business-name-do-i-need-registered-trade-mark-too?utm_source=chatgpt.com</t>
  </si>
  <si>
    <t xml:space="preserve">Obtain legal advice on enforcement options</t>
  </si>
  <si>
    <t xml:space="preserve">https://ipfirstresponse.ipaustralia.gov.au/options/obtain-legal-advice-enforcement-options</t>
  </si>
  <si>
    <t xml:space="preserve">/options/obtain-legal-advice-enforcement-options</t>
  </si>
  <si>
    <t xml:space="preserve">Register your unregistered trade mark</t>
  </si>
  <si>
    <t xml:space="preserve">https://ipfirstresponse.ipaustralia.gov.au/options/register-your-unregistered-trade-mark</t>
  </si>
  <si>
    <t xml:space="preserve">/options/register-your-unregistered-trade-mark</t>
  </si>
  <si>
    <t xml:space="preserve">https://ipfirstresponse.ipaustralia.gov.au/options/register-your-unregistered-trade-mark?utm_source=chatgpt.com</t>
  </si>
  <si>
    <t xml:space="preserve">Check if someone else already owns a word, logo or idea you want</t>
  </si>
  <si>
    <t xml:space="preserve">https://ipfirstresponse.ipaustralia.gov.au/options/check-if-someone-else-already-owns-word-logo-or-idea-you-want</t>
  </si>
  <si>
    <t xml:space="preserve">/options/check-if-someone-else-already-owns-word-logo-or-idea-you-want</t>
  </si>
  <si>
    <t xml:space="preserve">https://ipfirstresponse.ipaustralia.gov.au/options/check-if-someone-else-already-owns-word-logo-or-idea-you-want?utm_source=chatgpt.com</t>
  </si>
  <si>
    <t xml:space="preserve">Remove a trade mark from the register</t>
  </si>
  <si>
    <t xml:space="preserve">https://ipfirstresponse.ipaustralia.gov.au/options/trade-mark-non-use</t>
  </si>
  <si>
    <t xml:space="preserve">/options/trade-mark-non-use</t>
  </si>
  <si>
    <t xml:space="preserve">https://ipfirstresponse.ipaustralia.gov.au/options/trade-mark-non-use?utm_source=chatgpt.com</t>
  </si>
  <si>
    <t xml:space="preserve">Check your idea against existing patents</t>
  </si>
  <si>
    <t xml:space="preserve">https://ipfirstresponse.ipaustralia.gov.au/options/check-your-idea-against-existing-patents</t>
  </si>
  <si>
    <t xml:space="preserve">/options/check-your-idea-against-existing-patents</t>
  </si>
  <si>
    <t xml:space="preserve">https://ipfirstresponse.ipaustralia.gov.au/options/check-your-idea-against-existing-patents?utm_source=chatgpt.com</t>
  </si>
  <si>
    <t xml:space="preserve">Demand the other party stops infringing in writing</t>
  </si>
  <si>
    <t xml:space="preserve">https://ipfirstresponse.ipaustralia.gov.au/options/demand-other-party-stops-infringing-writing</t>
  </si>
  <si>
    <t xml:space="preserve">/options/demand-other-party-stops-infringing-writing</t>
  </si>
  <si>
    <t xml:space="preserve">Use your trade mark prominently to build recognition and protection</t>
  </si>
  <si>
    <t xml:space="preserve">https://ipfirstresponse.ipaustralia.gov.au/options/use-your-trade-mark-prominently-build-recognition-and-protection</t>
  </si>
  <si>
    <t xml:space="preserve">/options/use-your-trade-mark-prominently-build-recognition-and-protection</t>
  </si>
  <si>
    <t xml:space="preserve">https://ipfirstresponse.ipaustralia.gov.au/options/use-your-trade-mark-prominently-build-recognition-and-protection?utm_source=chatgpt.com</t>
  </si>
  <si>
    <t xml:space="preserve">https://ipfirstresponse.ipaustralia.gov.au/options/register-your-trade-mark?utm_source=chatgpt.com</t>
  </si>
  <si>
    <t xml:space="preserve">https://ipfirstresponse.ipaustralia.gov.au/options/demand-other-party-stops-infringing-writing?utm_source=chatgpt.com</t>
  </si>
  <si>
    <t xml:space="preserve">Respond to an opposition filed against your trade mark</t>
  </si>
  <si>
    <t xml:space="preserve">https://ipfirstresponse.ipaustralia.gov.au/options/respond-opposition-filed-against-your-trade-mark</t>
  </si>
  <si>
    <t xml:space="preserve">/options/respond-opposition-filed-against-your-trade-mark</t>
  </si>
  <si>
    <t xml:space="preserve">https://ipfirstresponse.ipaustralia.gov.au/options/respond-opposition-filed-against-your-trade-mark?utm_source=chatgpt.com</t>
  </si>
  <si>
    <t xml:space="preserve">https://chat.ipfirstresponse.ipaustralia.gov.au/?utm_source=chatgpt.com</t>
  </si>
  <si>
    <t xml:space="preserve">Choosing a Qualified Person (QP) to conduct growing trials</t>
  </si>
  <si>
    <t xml:space="preserve">https://ipfirstresponse.ipaustralia.gov.au/options/choosing-qualified-person-qp-conduct-growing-trials</t>
  </si>
  <si>
    <t xml:space="preserve">/options/choosing-qualified-person-qp-conduct-growing-trials</t>
  </si>
  <si>
    <t xml:space="preserve">What do I do if someone copies my stuff?</t>
  </si>
  <si>
    <t xml:space="preserve">https://ipfirstresponse.ipaustralia.gov.au/options/what-do-i-do-if-someone-copies-my-stuff</t>
  </si>
  <si>
    <t xml:space="preserve">/options/what-do-i-do-if-someone-copies-my-stuff</t>
  </si>
  <si>
    <t xml:space="preserve">https://ipfirstresponse.ipaustralia.gov.au/options/what-do-i-do-if-someone-copies-my-stuff?utm_source=chatgpt.com</t>
  </si>
  <si>
    <t xml:space="preserve">https://ipfirstresponse.ipaustralia.gov.au/options/court-trade-marks</t>
  </si>
  <si>
    <t xml:space="preserve">/options/court-trade-marks</t>
  </si>
  <si>
    <t xml:space="preserve">https://ipfirstresponse.ipaustralia.gov.au/options/court-trade-marks?utm_source=chatgpt.com</t>
  </si>
  <si>
    <t xml:space="preserve">Resolve IP issues with the help of a third party</t>
  </si>
  <si>
    <t xml:space="preserve">https://ipfirstresponse.ipaustralia.gov.au/options/mediation</t>
  </si>
  <si>
    <t xml:space="preserve">/options/mediation</t>
  </si>
  <si>
    <t xml:space="preserve">https://ipfirstresponse.ipaustralia.gov.au/options/mediation?utm_source=chatgpt.com</t>
  </si>
  <si>
    <t xml:space="preserve">Patent infringement</t>
  </si>
  <si>
    <t xml:space="preserve">https://ipfirstresponse.ipaustralia.gov.au/options/infringement-101-patent-infringement</t>
  </si>
  <si>
    <t xml:space="preserve">/options/infringement-101-patent-infringement</t>
  </si>
  <si>
    <t xml:space="preserve">Register your right to use your design exclusively</t>
  </si>
  <si>
    <t xml:space="preserve">https://ipfirstresponse.ipaustralia.gov.au/options/register-your-right-use-your-design-exclusively</t>
  </si>
  <si>
    <t xml:space="preserve">/options/register-your-right-use-your-design-exclusively</t>
  </si>
  <si>
    <t xml:space="preserve">https://ipfirstresponse.ipaustralia.gov.au/options/register-your-right-use-your-design-exclusively?utm_source=chatgpt.com</t>
  </si>
  <si>
    <t xml:space="preserve">Infringement 101</t>
  </si>
  <si>
    <t xml:space="preserve">https://ipfirstresponse.ipaustralia.gov.au/infringement-101</t>
  </si>
  <si>
    <t xml:space="preserve">/infringement-101</t>
  </si>
  <si>
    <t xml:space="preserve">Building a strong foundation: Practical IP steps for start-ups</t>
  </si>
  <si>
    <t xml:space="preserve">https://ipfirstresponse.ipaustralia.gov.au/blogs/building-strong-foundation-practical-ip-steps-start-ups</t>
  </si>
  <si>
    <t xml:space="preserve">/blogs/building-strong-foundation-practical-ip-steps-start-ups</t>
  </si>
  <si>
    <t xml:space="preserve">https://ipfirstresponse.ipaustralia.gov.au/blogs/building-strong-foundation-practical-ip-steps-start-ups?utm_source=chatgpt.com</t>
  </si>
  <si>
    <t xml:space="preserve">Page not found</t>
  </si>
  <si>
    <t xml:space="preserve">https://ipfirstresponse.ipaustralia.gov.au/options/considerations-when-using-artificial-intelligence-create-ip-</t>
  </si>
  <si>
    <t xml:space="preserve">/options/considerations-when-using-artificial-intelligence-create-ip-</t>
  </si>
  <si>
    <t xml:space="preserve">https://ipfirstresponse.ipaustralia.gov.au/options/infringement-101-copyright-infringement?utm</t>
  </si>
  <si>
    <t xml:space="preserve">Joint custody: The risks of sharing IP</t>
  </si>
  <si>
    <t xml:space="preserve">https://ipfirstresponse.ipaustralia.gov.au/blogs/joint-custody-risks-sharing-ip</t>
  </si>
  <si>
    <t xml:space="preserve">/blogs/joint-custody-risks-sharing-ip</t>
  </si>
  <si>
    <t xml:space="preserve">https://ipfirstresponse.ipaustralia.gov.au/site-search?search_api_fulltext=CRAFTVERSE</t>
  </si>
  <si>
    <t xml:space="preserve">What is IP and how does it protect me?</t>
  </si>
  <si>
    <t xml:space="preserve">https://ipfirstresponse.ipaustralia.gov.au/options/what-ip-and-how-does-it-protect-me</t>
  </si>
  <si>
    <t xml:space="preserve">/options/what-ip-and-how-does-it-protect-me</t>
  </si>
  <si>
    <t xml:space="preserve">https://ipfirstresponse.ipaustralia.gov.au/options/what-ip-and-how-does-it-protect-me?utm_source=chatgpt.com</t>
  </si>
  <si>
    <t xml:space="preserve">Blogs</t>
  </si>
  <si>
    <t xml:space="preserve">https://ipfirstresponse.ipaustralia.gov.au/blogs</t>
  </si>
  <si>
    <t xml:space="preserve">/blogs</t>
  </si>
  <si>
    <t xml:space="preserve">Explore opportunities by licensing your IP</t>
  </si>
  <si>
    <t xml:space="preserve">https://ipfirstresponse.ipaustralia.gov.au/options/explore-opportunities-licensing-your-ip</t>
  </si>
  <si>
    <t xml:space="preserve">/options/explore-opportunities-licensing-your-ip</t>
  </si>
  <si>
    <t xml:space="preserve">https://ipfirstresponse.ipaustralia.gov.au/options/explore-opportunities-licensing-your-ip?utm_source=chatgpt.com</t>
  </si>
  <si>
    <t xml:space="preserve">How can I deal with IP issues without going to court?</t>
  </si>
  <si>
    <t xml:space="preserve">https://ipfirstresponse.ipaustralia.gov.au/options/how-can-i-deal-ip-issues-without-going-court</t>
  </si>
  <si>
    <t xml:space="preserve">/options/how-can-i-deal-ip-issues-without-going-court</t>
  </si>
  <si>
    <t xml:space="preserve">https://ipfirstresponse.ipaustralia.gov.au/options/how-can-i-deal-ip-issues-without-going-court?utm_source=chatgpt.com</t>
  </si>
  <si>
    <t xml:space="preserve">What to do if someone infringes your IP</t>
  </si>
  <si>
    <t xml:space="preserve">https://ipfirstresponse.ipaustralia.gov.au/options/infringement-101-what-do-if-someone-infringes-your-ip</t>
  </si>
  <si>
    <t xml:space="preserve">/options/infringement-101-what-do-if-someone-infringes-your-ip</t>
  </si>
  <si>
    <t xml:space="preserve">Check your product against existing designs</t>
  </si>
  <si>
    <t xml:space="preserve">https://ipfirstresponse.ipaustralia.gov.au/options/check-your-product-against-existing-designs</t>
  </si>
  <si>
    <t xml:space="preserve">/options/check-your-product-against-existing-designs</t>
  </si>
  <si>
    <t xml:space="preserve">https://ipfirstresponse.ipaustralia.gov.au/options/check-your-product-against-existing-designs?utm_source=chatgpt.com</t>
  </si>
  <si>
    <t xml:space="preserve">https://ipfirstresponse.ipaustralia.gov.au/options/considerations-when-using-artificial-intelligence-create-ip-0?utm</t>
  </si>
  <si>
    <t xml:space="preserve">Obtain advice to help manage your IP</t>
  </si>
  <si>
    <t xml:space="preserve">https://ipfirstresponse.ipaustralia.gov.au/options/obtain-advice-help-manage-your-ip</t>
  </si>
  <si>
    <t xml:space="preserve">/options/obtain-advice-help-manage-your-ip</t>
  </si>
  <si>
    <t xml:space="preserve">https://ipfirstresponse.ipaustralia.gov.au/options/obtain-advice-help-manage-your-ip?utm_source=chatgpt.com</t>
  </si>
  <si>
    <t xml:space="preserve">Oppose an IP infringement notice from an online marketplace</t>
  </si>
  <si>
    <t xml:space="preserve">https://ipfirstresponse.ipaustralia.gov.au/options/oppose-ip-infringement-notice-online-marketplace</t>
  </si>
  <si>
    <t xml:space="preserve">/options/oppose-ip-infringement-notice-online-marketplace</t>
  </si>
  <si>
    <t xml:space="preserve">https://ipfirstresponse.ipaustralia.gov.au/options/oppose-ip-infringement-notice-online-marketplace?utm_source=chatgpt.com</t>
  </si>
  <si>
    <t xml:space="preserve">Apply for a patent to protect your invention from being copied</t>
  </si>
  <si>
    <t xml:space="preserve">https://ipfirstresponse.ipaustralia.gov.au/options/apply-patent-protect-your-invention-being-copied</t>
  </si>
  <si>
    <t xml:space="preserve">/options/apply-patent-protect-your-invention-being-copied</t>
  </si>
  <si>
    <t xml:space="preserve">https://ipfirstresponse.ipaustralia.gov.au/options/apply-patent-protect-your-invention-being-copied?utm_source=chatgpt.com</t>
  </si>
  <si>
    <t xml:space="preserve">Enforcing a 'filed' patent</t>
  </si>
  <si>
    <t xml:space="preserve">https://ipfirstresponse.ipaustralia.gov.au/options/enforcing-filed-patent</t>
  </si>
  <si>
    <t xml:space="preserve">/options/enforcing-filed-patent</t>
  </si>
  <si>
    <t xml:space="preserve">https://ipfirstresponse.ipaustralia.gov.au/options/enforcing-filed-patent?utm_source=chatgpt.com</t>
  </si>
  <si>
    <t xml:space="preserve">How IP Australia contact centres can assist you</t>
  </si>
  <si>
    <t xml:space="preserve">https://ipfirstresponse.ipaustralia.gov.au/options/how-ip-australia-contact-centres-can-assist-you</t>
  </si>
  <si>
    <t xml:space="preserve">/options/how-ip-australia-contact-centres-can-assist-you</t>
  </si>
  <si>
    <t xml:space="preserve">https://ipfirstresponse.ipaustralia.gov.au/options/how-ip-australia-contact-centres-can-assist-you?utm_source=chatgpt.com</t>
  </si>
  <si>
    <t xml:space="preserve">How to avoid infringing others' intellectual property</t>
  </si>
  <si>
    <t xml:space="preserve">https://ipfirstresponse.ipaustralia.gov.au/options/infringement-101-how-avoid-infringing-others-intellectual-property</t>
  </si>
  <si>
    <t xml:space="preserve">/options/infringement-101-how-avoid-infringing-others-intellectual-property</t>
  </si>
  <si>
    <t xml:space="preserve">https://ipfirstresponse.ipaustralia.gov.au/options/infringement-101-how-avoid-infringing-others-intellectual-property?utm_source=chatgpt.com</t>
  </si>
  <si>
    <t xml:space="preserve">https://ipfirstresponse.ipaustralia.gov.au/options/obtain-legal-advice-enforcement-options?utm_source=chatgpt.com</t>
  </si>
  <si>
    <t xml:space="preserve">Prevent risks to public interest</t>
  </si>
  <si>
    <t xml:space="preserve">https://ipfirstresponse.ipaustralia.gov.au/options/prevent-risks-public-interest</t>
  </si>
  <si>
    <t xml:space="preserve">/options/prevent-risks-public-interest</t>
  </si>
  <si>
    <t xml:space="preserve">https://ipfirstresponse.ipaustralia.gov.au/options/prevent-risks-public-interest?utm_source=chatgpt.com</t>
  </si>
  <si>
    <t xml:space="preserve">The Toyota story: What can SMEs learn from Toyota’s approach to counterfeit products?</t>
  </si>
  <si>
    <t xml:space="preserve">https://ipfirstresponse.ipaustralia.gov.au/options/toyotas-approach-counterfeit-products</t>
  </si>
  <si>
    <t xml:space="preserve">/options/toyotas-approach-counterfeit-products</t>
  </si>
  <si>
    <t xml:space="preserve">https://ipfirstresponse.ipaustralia.gov.au/options/toyotas-approach-counterfeit-products?utm_source=chatgpt.com</t>
  </si>
  <si>
    <t xml:space="preserve">Naming your tech-startup after a person? Read this first</t>
  </si>
  <si>
    <t xml:space="preserve">https://ipfirstresponse.ipaustralia.gov.au/blogs/naming-your-tech-startup-after-person-read-first</t>
  </si>
  <si>
    <t xml:space="preserve">/blogs/naming-your-tech-startup-after-person-read-first</t>
  </si>
  <si>
    <t xml:space="preserve">https://ipfirstresponse.ipaustralia.gov.au/blogs/naming-your-tech-startup-after-person-read-first?utm_source=chatgpt.com</t>
  </si>
  <si>
    <t xml:space="preserve">Dispute a domain name that infringes your trade mark</t>
  </si>
  <si>
    <t xml:space="preserve">https://ipfirstresponse.ipaustralia.gov.au/options/dispute-au-domain-name</t>
  </si>
  <si>
    <t xml:space="preserve">/options/dispute-au-domain-name</t>
  </si>
  <si>
    <t xml:space="preserve">https://ipfirstresponse.ipaustralia.gov.au/options/dispute-au-domain-name?utm_source=chatgpt.com</t>
  </si>
  <si>
    <t xml:space="preserve">https://ipfirstresponse.ipaustralia.gov.au/options/report-scam-fraud-or-risk-public-interest?utm_source=chatgpt.com</t>
  </si>
  <si>
    <t xml:space="preserve">https://ipfirstresponse.ipaustralia.gov.au/options/infringement-101-how-avoid-infringing-others-intellectual-property?utm_source=copilot.com</t>
  </si>
  <si>
    <t xml:space="preserve">Notify online marketplaces of infringement on their platform</t>
  </si>
  <si>
    <t xml:space="preserve">https://ipfirstresponse.ipaustralia.gov.au/options/notify-online-marketplaces-infringement-their-platform</t>
  </si>
  <si>
    <t xml:space="preserve">/options/notify-online-marketplaces-infringement-their-platform</t>
  </si>
  <si>
    <t xml:space="preserve">https://ipfirstresponse.ipaustralia.gov.au/options/notify-online-marketplaces-infringement-their-platform?utm_source=chatgpt.com</t>
  </si>
  <si>
    <t xml:space="preserve">What can I do if I disagree with IP Australia’s examination decision?</t>
  </si>
  <si>
    <t xml:space="preserve">https://ipfirstresponse.ipaustralia.gov.au/options/what-can-i-do-if-i-disagree-ip-australias-examination-decision</t>
  </si>
  <si>
    <t xml:space="preserve">/options/what-can-i-do-if-i-disagree-ip-australias-examination-decision</t>
  </si>
  <si>
    <t xml:space="preserve">https://ipfirstresponse.ipaustralia.gov.au/options/what-can-i-do-if-i-disagree-ip-australias-examination-decision?utm_source=chatgpt.com</t>
  </si>
  <si>
    <t xml:space="preserve">https://ipfirstresponse.ipaustralia.gov.au/site-search?search_api_fulltext=tinka</t>
  </si>
  <si>
    <t xml:space="preserve">How to identify intellectual property in your business (A step-by-step guide for SMEs)</t>
  </si>
  <si>
    <t xml:space="preserve">https://ipfirstresponse.ipaustralia.gov.au/blogs/how-identify-intellectual-property-your-business-step-step-guide-smes</t>
  </si>
  <si>
    <t xml:space="preserve">/blogs/how-identify-intellectual-property-your-business-step-step-guide-smes</t>
  </si>
  <si>
    <t xml:space="preserve">https://ipfirstresponse.ipaustralia.gov.au/blogs/how-identify-intellectual-property-your-business-step-step-guide-smes?utm_source=chatgpt.com</t>
  </si>
  <si>
    <t xml:space="preserve">https://ipfirstresponse.ipaustralia.gov.au/?_gl=1*ix6zuf*_gcl_au*MTY1NDE1OTM4My4xNzg3MzgyODg5*_ga*Mzg3MTA1MDQ2LjE3ODcyODEzOTU.*_ga_GMT4KC15KS*czE3ODczODE0MzMkbzIkZzEkdDE3ODczODM3MjIkajIzJGwwJGgw</t>
  </si>
  <si>
    <t xml:space="preserve">Assert your rights, as a response to an accusation</t>
  </si>
  <si>
    <t xml:space="preserve">https://ipfirstresponse.ipaustralia.gov.au/options/assert-your-rights-response-accusation</t>
  </si>
  <si>
    <t xml:space="preserve">/options/assert-your-rights-response-accusation</t>
  </si>
  <si>
    <t xml:space="preserve">Challenge the registration of a new trade mark</t>
  </si>
  <si>
    <t xml:space="preserve">https://ipfirstresponse.ipaustralia.gov.au/options/challenge-registration-new-trade-mark</t>
  </si>
  <si>
    <t xml:space="preserve">/options/challenge-registration-new-trade-mark</t>
  </si>
  <si>
    <t xml:space="preserve">Challenge the registration of a new trade mark to defend your right</t>
  </si>
  <si>
    <t xml:space="preserve">https://ipfirstresponse.ipaustralia.gov.au/options/challenge-registration-new-trade-mark-to-defend</t>
  </si>
  <si>
    <t xml:space="preserve">/options/challenge-registration-new-trade-mark-to-defend</t>
  </si>
  <si>
    <t xml:space="preserve">Respond to an unjustified threat</t>
  </si>
  <si>
    <t xml:space="preserve">https://ipfirstresponse.ipaustralia.gov.au/options/respond-unjustified-threat</t>
  </si>
  <si>
    <t xml:space="preserve">/options/respond-unjustified-threat</t>
  </si>
  <si>
    <t xml:space="preserve">https://ipfirstresponse.ipaustralia.gov.au/?_gl=1*1d8oqi8*_gcl_au*MTgzMDgyMDA1Ny4xNzg1MzgzODMx*_ga*MzUxMDIyOTE4LjE3ODUxNDIxMzY.*_ga_GMT4KC15KS*czE3ODc0NjQyODckbzIxJGcwJHQxNzg3NDY0Mjg4JGo1OSRsMCRoMA..</t>
  </si>
  <si>
    <t xml:space="preserve">https://ipfirstresponse.ipaustralia.gov.au/options/infringement-101-patent-infringement?utm_source=chatgpt.com</t>
  </si>
  <si>
    <t xml:space="preserve">Challenge the use of international domain name</t>
  </si>
  <si>
    <t xml:space="preserve">https://ipfirstresponse.ipaustralia.gov.au/options/challenge-use-international-domain-name</t>
  </si>
  <si>
    <t xml:space="preserve">/options/challenge-use-international-domain-name</t>
  </si>
  <si>
    <t xml:space="preserve">https://ipfirstresponse.ipaustralia.gov.au/options/challenge-use-international-domain-name?utm_source=chatgpt.com</t>
  </si>
  <si>
    <t xml:space="preserve">Develop a strategy to manage your IP</t>
  </si>
  <si>
    <t xml:space="preserve">https://ipfirstresponse.ipaustralia.gov.au/options/develop-strategy-manage-your-ip</t>
  </si>
  <si>
    <t xml:space="preserve">/options/develop-strategy-manage-your-ip</t>
  </si>
  <si>
    <t xml:space="preserve">https://ipfirstresponse.ipaustralia.gov.au/options/develop-strategy-manage-your-ip?utm_source=chatgpt.com</t>
  </si>
  <si>
    <t xml:space="preserve">Discover where you are in your IP journey</t>
  </si>
  <si>
    <t xml:space="preserve">https://ipfirstresponse.ipaustralia.gov.au/options/discover-where-you-are-your-ip-journey</t>
  </si>
  <si>
    <t xml:space="preserve">/options/discover-where-you-are-your-ip-journey</t>
  </si>
  <si>
    <t xml:space="preserve">https://ipfirstresponse.ipaustralia.gov.au/options/discover-where-you-are-your-ip-journey?utm_source=chatgpt.com</t>
  </si>
  <si>
    <t xml:space="preserve">IP First Response Chatbot Privacy Notice</t>
  </si>
  <si>
    <t xml:space="preserve">https://ipfirstresponse.ipaustralia.gov.au/chatbot-privacy-notice</t>
  </si>
  <si>
    <t xml:space="preserve">/chatbot-privacy-notice</t>
  </si>
  <si>
    <t xml:space="preserve">https://ipfirstresponse.ipaustralia.gov.au/chatbot-privacy-notice?utm_source=chatgpt.com</t>
  </si>
  <si>
    <t xml:space="preserve">https://ipfirstresponse.ipaustralia.gov.au/navigator-tool?utm_content=NotSure_button_experiment_v1</t>
  </si>
  <si>
    <t xml:space="preserve">Familiarise yourself with IP laws</t>
  </si>
  <si>
    <t xml:space="preserve">https://ipfirstresponse.ipaustralia.gov.au/options/familiarise-yourself-ip-laws</t>
  </si>
  <si>
    <t xml:space="preserve">/options/familiarise-yourself-ip-laws</t>
  </si>
  <si>
    <t xml:space="preserve">https://ipfirstresponse.ipaustralia.gov.au/options/familiarise-yourself-ip-laws?utm_source=chatgpt.com</t>
  </si>
  <si>
    <t xml:space="preserve">https://ipfirstresponse.ipaustralia.gov.au/site-search?search_api_fulltext=dandelion+whispers</t>
  </si>
  <si>
    <t xml:space="preserve">Help customers differentiate between your products and lookalikes</t>
  </si>
  <si>
    <t xml:space="preserve">https://ipfirstresponse.ipaustralia.gov.au/options/help-customers-differentiate-between-your-products-and-lookalikes</t>
  </si>
  <si>
    <t xml:space="preserve">/options/help-customers-differentiate-between-your-products-and-lookalikes</t>
  </si>
  <si>
    <t xml:space="preserve">https://ipfirstresponse.ipaustralia.gov.au/options/help-customers-differentiate-between-your-products-and-lookalikes?utm_source=chatgpt.com</t>
  </si>
  <si>
    <t xml:space="preserve">https://ipfirstresponse.ipaustralia.gov.au/options/challenge-registration-new-trade-mark?utm_source=chatgpt.com</t>
  </si>
  <si>
    <t xml:space="preserve">https://ipfirstresponse.ipaustralia.gov.au/options/trade-mark-revocation</t>
  </si>
  <si>
    <t xml:space="preserve">/options/trade-mark-revocation</t>
  </si>
  <si>
    <t xml:space="preserve">https://ipfirstresponse.ipaustralia.gov.au/options/trade-mark-revocation?utm_source=chatgpt.com</t>
  </si>
  <si>
    <t xml:space="preserve">Free IP tools you can use</t>
  </si>
  <si>
    <t xml:space="preserve">https://ipfirstresponse.ipaustralia.gov.au/options/free-ip-tools-you-can-use</t>
  </si>
  <si>
    <t xml:space="preserve">/options/free-ip-tools-you-can-use</t>
  </si>
  <si>
    <t xml:space="preserve">https://ipfirstresponse.ipaustralia.gov.au/options/free-ip-tools-you-can-use?utm_source=chatgpt.com</t>
  </si>
  <si>
    <t xml:space="preserve">Choose to rebrand to avoid potential IP conflicts</t>
  </si>
  <si>
    <t xml:space="preserve">https://ipfirstresponse.ipaustralia.gov.au/options/choose-rebrand-avoid-potential-ip-conflicts</t>
  </si>
  <si>
    <t xml:space="preserve">/options/choose-rebrand-avoid-potential-ip-conflicts</t>
  </si>
  <si>
    <t xml:space="preserve">https://ipfirstresponse.ipaustralia.gov.au/options/choose-rebrand-avoid-potential-ip-conflicts?utm_source=chatgpt.com</t>
  </si>
  <si>
    <t xml:space="preserve">https://ipfirstresponse.ipaustralia.gov.au/options/court-trade-marks?utm_source=chatgpt.co</t>
  </si>
  <si>
    <t xml:space="preserve">https://ipfirstresponse.ipaustralia.gov.au/?utm_source=chatgpt.com</t>
  </si>
  <si>
    <t xml:space="preserve">https://ipfirstresponse.ipaustralia.gov.au/options/respond-unjustified-threat?utm_source=chatgpt.com</t>
  </si>
  <si>
    <t xml:space="preserve">Request IP Australia confirms a registered design is valid</t>
  </si>
  <si>
    <t xml:space="preserve">https://ipfirstresponse.ipaustralia.gov.au/options/request-ip-australia-confirms-registered-design-valid</t>
  </si>
  <si>
    <t xml:space="preserve">/options/request-ip-australia-confirms-registered-design-valid</t>
  </si>
  <si>
    <t xml:space="preserve">https://ipfirstresponse.ipaustralia.gov.au/options/request-ip-australia-confirms-registered-design-valid?utm_source=chatgpt.com</t>
  </si>
  <si>
    <t xml:space="preserve">https://ipfirstresponse.ipaustralia.gov.au/chatbot-privacy-notice?utm_source=chatgpt.com#top</t>
  </si>
  <si>
    <t xml:space="preserve">Can I buy, sell or license IP?</t>
  </si>
  <si>
    <t xml:space="preserve">https://ipfirstresponse.ipaustralia.gov.au/options/can-i-buy-sell-or-license-ip</t>
  </si>
  <si>
    <t xml:space="preserve">/options/can-i-buy-sell-or-license-ip</t>
  </si>
  <si>
    <t xml:space="preserve">https://ipfirstresponse.ipaustralia.gov.au/options/can-i-buy-sell-or-license-ip?utm_source=chatgpt.com</t>
  </si>
  <si>
    <t xml:space="preserve">Receiving a letter of demand</t>
  </si>
  <si>
    <t xml:space="preserve">https://ipfirstresponse.ipaustralia.gov.au/options/receiving-letter-demand</t>
  </si>
  <si>
    <t xml:space="preserve">/options/receiving-letter-demand</t>
  </si>
  <si>
    <t xml:space="preserve">https://ipfirstresponse.ipaustralia.gov.au/options/receiving-letter-demand?utm_source=chatgpt.com</t>
  </si>
  <si>
    <t xml:space="preserve">Mixpanel emits one row per landing-URL variant, so the same page and date can appear twice (once with tracking parameters, once without). Column J marks the first row of each page-and-date pair, which is what the Pages tab counts as a day with sessions.</t>
  </si>
  <si>
    <t xml:space="preserve">citations (Bing AI)</t>
  </si>
  <si>
    <t xml:space="preserve">sessions (all AI referrers)</t>
  </si>
  <si>
    <t xml:space="preserve">CTR all referrers</t>
  </si>
  <si>
    <t xml:space="preserve">CTR Copilot only</t>
  </si>
  <si>
    <t xml:space="preserve">share of citations</t>
  </si>
  <si>
    <t xml:space="preserve">share of sessions</t>
  </si>
  <si>
    <t xml:space="preserve">match status</t>
  </si>
  <si>
    <t xml:space="preserve">first session</t>
  </si>
  <si>
    <t xml:space="preserve">last session</t>
  </si>
  <si>
    <t xml:space="preserve">days with sessions</t>
  </si>
  <si>
    <t xml:space="preserve">cited and landed</t>
  </si>
  <si>
    <t xml:space="preserve">https://ipfirstresponse.ipaustralia.gov.au/options/infringement-101-what-ip-infringement</t>
  </si>
  <si>
    <t xml:space="preserve">/options/infringement-101-what-ip-infringement</t>
  </si>
  <si>
    <t xml:space="preserve">cited, no landings</t>
  </si>
  <si>
    <t xml:space="preserve">https://ipfirstresponse.ipaustralia.gov.au/options/what-does-ip-protection-mean-my-business</t>
  </si>
  <si>
    <t xml:space="preserve">/options/what-does-ip-protection-mean-my-business</t>
  </si>
  <si>
    <t xml:space="preserve">https://ipfirstresponse.ipaustralia.gov.au/options/how-can-i-make-complaint-about-lawyer-or-attorney</t>
  </si>
  <si>
    <t xml:space="preserve">/options/how-can-i-make-complaint-about-lawyer-or-attorney</t>
  </si>
  <si>
    <t xml:space="preserve">https://ipfirstresponse.ipaustralia.gov.au/options/request-ip-australia-remove-unused-trade-mark-defend-your-right</t>
  </si>
  <si>
    <t xml:space="preserve">/options/request-ip-australia-remove-unused-trade-mark-defend-your-right</t>
  </si>
  <si>
    <t xml:space="preserve">https://ipfirstresponse.ipaustralia.gov.au/options/ASBFEO</t>
  </si>
  <si>
    <t xml:space="preserve">/options/ASBFEO</t>
  </si>
  <si>
    <t xml:space="preserve">https://ipfirstresponse.ipaustralia.gov.au/blogs/why-every-creative-business-needs-ip-strategy-day-one</t>
  </si>
  <si>
    <t xml:space="preserve">/blogs/why-every-creative-business-needs-ip-strategy-day-one</t>
  </si>
  <si>
    <t xml:space="preserve">https://ipfirstresponse.ipaustralia.gov.au/options/what-happens-ip-australia-hearing</t>
  </si>
  <si>
    <t xml:space="preserve">/options/what-happens-ip-australia-hearing</t>
  </si>
  <si>
    <t xml:space="preserve">https://ipfirstresponse.ipaustralia.gov.au/options/request-early-examination-your-application-ip-rights</t>
  </si>
  <si>
    <t xml:space="preserve">/options/request-early-examination-your-application-ip-rights</t>
  </si>
  <si>
    <t xml:space="preserve">https://ipfirstresponse.ipaustralia.gov.au/options/infringement-101-addressing-overseas-infringement</t>
  </si>
  <si>
    <t xml:space="preserve">/options/infringement-101-addressing-overseas-infringement</t>
  </si>
  <si>
    <t xml:space="preserve">https://ipfirstresponse.ipaustralia.gov.au/blogs/ip-barrier-entry-what-really-stops-competitors</t>
  </si>
  <si>
    <t xml:space="preserve">/blogs/ip-barrier-entry-what-really-stops-competitors</t>
  </si>
  <si>
    <t xml:space="preserve">https://ipfirstresponse.ipaustralia.gov.au/options/does-my-australian-ip-work-overseas</t>
  </si>
  <si>
    <t xml:space="preserve">/options/does-my-australian-ip-work-overseas</t>
  </si>
  <si>
    <t xml:space="preserve">https://ipfirstresponse.ipaustralia.gov.au/options/what-check-getting-registered-ip</t>
  </si>
  <si>
    <t xml:space="preserve">/options/what-check-getting-registered-ip</t>
  </si>
  <si>
    <t xml:space="preserve">https://ipfirstresponse.ipaustralia.gov.au/blogs/exploring-wipo-good-offices-program-practical-alternative-ip-litigation</t>
  </si>
  <si>
    <t xml:space="preserve">/blogs/exploring-wipo-good-offices-program-practical-alternative-ip-litigation</t>
  </si>
  <si>
    <t xml:space="preserve">https://ipfirstresponse.ipaustralia.gov.au/options/challenge-granted-patent-enforcement</t>
  </si>
  <si>
    <t xml:space="preserve">/options/challenge-granted-patent-enforcement</t>
  </si>
  <si>
    <t xml:space="preserve">https://ipfirstresponse.ipaustralia.gov.au/options/can-i-protect-my-ideas-worldwide-ip-right</t>
  </si>
  <si>
    <t xml:space="preserve">/options/can-i-protect-my-ideas-worldwide-ip-right</t>
  </si>
  <si>
    <t xml:space="preserve">https://ipfirstresponse.ipaustralia.gov.au/all-enforcement-options</t>
  </si>
  <si>
    <t xml:space="preserve">/all-enforcement-options</t>
  </si>
  <si>
    <t xml:space="preserve">https://ipfirstresponse.ipaustralia.gov.au/options/respond-opposition-filed-against-your-patent</t>
  </si>
  <si>
    <t xml:space="preserve">/options/respond-opposition-filed-against-your-patent</t>
  </si>
  <si>
    <t xml:space="preserve">https://ipfirstresponse.ipaustralia.gov.au/options/why-so-expensive</t>
  </si>
  <si>
    <t xml:space="preserve">/options/why-so-expensive</t>
  </si>
  <si>
    <t xml:space="preserve">https://ipfirstresponse.ipaustralia.gov.au/glossary-terms</t>
  </si>
  <si>
    <t xml:space="preserve">/glossary-terms</t>
  </si>
  <si>
    <t xml:space="preserve">https://ipfirstresponse.ipaustralia.gov.au/options/common-scams</t>
  </si>
  <si>
    <t xml:space="preserve">/options/common-scams</t>
  </si>
  <si>
    <t xml:space="preserve">https://ipfirstresponse.ipaustralia.gov.au/options/plan-how-ip-disputes-will-be-handled-contracts</t>
  </si>
  <si>
    <t xml:space="preserve">/options/plan-how-ip-disputes-will-be-handled-contracts</t>
  </si>
  <si>
    <t xml:space="preserve">https://ipfirstresponse.ipaustralia.gov.au/options/obtain-legal-advice-accusation-infringement</t>
  </si>
  <si>
    <t xml:space="preserve">/options/obtain-legal-advice-accusation-infringement</t>
  </si>
  <si>
    <t xml:space="preserve">https://ipfirstresponse.ipaustralia.gov.au/options/considerations-enforcing-your-ip-overseas</t>
  </si>
  <si>
    <t xml:space="preserve">/options/considerations-enforcing-your-ip-overseas</t>
  </si>
  <si>
    <t xml:space="preserve">https://ipfirstresponse.ipaustralia.gov.au/options/identify-and-track-patents-and-activity-your-competitors</t>
  </si>
  <si>
    <t xml:space="preserve">/options/identify-and-track-patents-and-activity-your-competitors</t>
  </si>
  <si>
    <t xml:space="preserve">https://ipfirstresponse.ipaustralia.gov.au/options/challenge-granted-patent-accused</t>
  </si>
  <si>
    <t xml:space="preserve">/options/challenge-granted-patent-accused</t>
  </si>
  <si>
    <t xml:space="preserve">https://ipfirstresponse.ipaustralia.gov.au/options/conduct-ip-audits-spot-gaps-reduce-risks-and-plan-next-steps</t>
  </si>
  <si>
    <t xml:space="preserve">/options/conduct-ip-audits-spot-gaps-reduce-risks-and-plan-next-steps</t>
  </si>
  <si>
    <t xml:space="preserve">https://ipfirstresponse.ipaustralia.gov.au/options/court-designs</t>
  </si>
  <si>
    <t xml:space="preserve">/options/court-designs</t>
  </si>
  <si>
    <t xml:space="preserve">https://ipfirstresponse.ipaustralia.gov.au/options/infringement-101-pbr-infringement</t>
  </si>
  <si>
    <t xml:space="preserve">/options/infringement-101-pbr-infringement</t>
  </si>
  <si>
    <t xml:space="preserve">https://ipfirstresponse.ipaustralia.gov.au/options/prevent-patent-under-examination-being-granted</t>
  </si>
  <si>
    <t xml:space="preserve">/options/prevent-patent-under-examination-being-granted</t>
  </si>
  <si>
    <t xml:space="preserve">landings, not cited</t>
  </si>
  <si>
    <t xml:space="preserve">TOTAL (visible rows)</t>
  </si>
  <si>
    <t xml:space="preserve">CTR = Mixpanel sessions divided by Bing AI citations. The two sources cover different AI surfaces, so read it as a visibility-to-traffic yield, not a true click-through rate. See README.</t>
  </si>
  <si>
    <t xml:space="preserve">year</t>
  </si>
  <si>
    <t xml:space="preserve">month</t>
  </si>
  <si>
    <t xml:space="preserve">ISO week</t>
  </si>
  <si>
    <t xml:space="preserve">week starting</t>
  </si>
  <si>
    <t xml:space="preserve">day</t>
  </si>
  <si>
    <t xml:space="preserve">weekend</t>
  </si>
  <si>
    <t xml:space="preserve">cited pages</t>
  </si>
  <si>
    <t xml:space="preserve">source coverage</t>
  </si>
  <si>
    <t xml:space="preserve">May 2026</t>
  </si>
  <si>
    <t xml:space="preserve">Thu</t>
  </si>
  <si>
    <t xml:space="preserve">citations only</t>
  </si>
  <si>
    <t xml:space="preserve">Fri</t>
  </si>
  <si>
    <t xml:space="preserve">both</t>
  </si>
  <si>
    <t xml:space="preserve">Sat</t>
  </si>
  <si>
    <t xml:space="preserve">Sun</t>
  </si>
  <si>
    <t xml:space="preserve">Mon</t>
  </si>
  <si>
    <t xml:space="preserve">Tue</t>
  </si>
  <si>
    <t xml:space="preserve">Wed</t>
  </si>
  <si>
    <t xml:space="preserve">Jun 2026</t>
  </si>
  <si>
    <t xml:space="preserve">Jul 2026</t>
  </si>
  <si>
    <t xml:space="preserve">Aug 2026</t>
  </si>
  <si>
    <t xml:space="preserve">Sep 2026</t>
  </si>
  <si>
    <t xml:space="preserve">sessions only</t>
  </si>
  <si>
    <t xml:space="preserve">'cited pages' is a daily count of distinct pages, so the total row shows its average rather than a sum. Days outside one source are left blank, not zero.</t>
  </si>
  <si>
    <t xml:space="preserve">week ending</t>
  </si>
  <si>
    <t xml:space="preserve">days in range</t>
  </si>
  <si>
    <t xml:space="preserve">CTR (weekly totals)</t>
  </si>
  <si>
    <t xml:space="preserve">CTR (mean of daily CTRs)</t>
  </si>
  <si>
    <t xml:space="preserve">avg cited pages per day</t>
  </si>
  <si>
    <t xml:space="preserve">complete week</t>
  </si>
  <si>
    <t xml:space="preserve">2026-W20</t>
  </si>
  <si>
    <t xml:space="preserve">no (partial)</t>
  </si>
  <si>
    <t xml:space="preserve">2026-W21</t>
  </si>
  <si>
    <t xml:space="preserve">2026-W22</t>
  </si>
  <si>
    <t xml:space="preserve">2026-W23</t>
  </si>
  <si>
    <t xml:space="preserve">2026-W24</t>
  </si>
  <si>
    <t xml:space="preserve">2026-W25</t>
  </si>
  <si>
    <t xml:space="preserve">2026-W26</t>
  </si>
  <si>
    <t xml:space="preserve">2026-W27</t>
  </si>
  <si>
    <t xml:space="preserve">2026-W28</t>
  </si>
  <si>
    <t xml:space="preserve">2026-W29</t>
  </si>
  <si>
    <t xml:space="preserve">2026-W30</t>
  </si>
  <si>
    <t xml:space="preserve">2026-W31</t>
  </si>
  <si>
    <t xml:space="preserve">2026-W32</t>
  </si>
  <si>
    <t xml:space="preserve">2026-W33</t>
  </si>
  <si>
    <t xml:space="preserve">2026-W34</t>
  </si>
  <si>
    <t xml:space="preserve">2026-W35</t>
  </si>
  <si>
    <t xml:space="preserve">2026-W36</t>
  </si>
  <si>
    <t xml:space="preserve">2026-W37</t>
  </si>
  <si>
    <t xml:space="preserve">First and last weeks are partial. Weighting differs between the two CTR columns: column K divides weekly totals, column L averages each day equally.</t>
  </si>
  <si>
    <t xml:space="preserve">distinct landing pages</t>
  </si>
  <si>
    <t xml:space="preserve">TOTAL</t>
  </si>
  <si>
    <t xml:space="preserve">'distinct landing pages' is a de-duplicated count computed at build time, so it does not respond to filters. The total is the distinct count across all referrers, not the sum of the rows above, because assistants share pages.</t>
  </si>
</sst>
</file>

<file path=xl/styles.xml><?xml version="1.0" encoding="utf-8"?>
<styleSheet xmlns="http://schemas.openxmlformats.org/spreadsheetml/2006/main">
  <numFmts count="6">
    <numFmt numFmtId="164" formatCode="General"/>
    <numFmt numFmtId="165" formatCode="#,##0"/>
    <numFmt numFmtId="166" formatCode="0.00%"/>
    <numFmt numFmtId="167" formatCode="yyyy\-mm\-dd"/>
    <numFmt numFmtId="168" formatCode="0.0%"/>
    <numFmt numFmtId="169"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i val="true"/>
      <sz val="9"/>
      <color rgb="FF555555"/>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8"/>
    <col collapsed="false" customWidth="true" hidden="false" outlineLevel="0" max="3" min="3" style="0" width="20"/>
  </cols>
  <sheetData>
    <row r="1" customFormat="false" ht="16.15" hidden="false" customHeight="false" outlineLevel="0" collapsed="false">
      <c r="A1" s="1" t="s">
        <v>0</v>
      </c>
      <c r="B1" s="2"/>
      <c r="C1" s="2"/>
    </row>
    <row r="2" customFormat="false" ht="42" hidden="false" customHeight="true" outlineLevel="0" collapsed="false">
      <c r="A2" s="3" t="s">
        <v>1</v>
      </c>
      <c r="B2" s="3"/>
      <c r="C2" s="3"/>
    </row>
    <row r="3" customFormat="false" ht="15" hidden="false" customHeight="false" outlineLevel="0" collapsed="false">
      <c r="A3" s="2"/>
      <c r="B3" s="2"/>
      <c r="C3" s="2"/>
    </row>
    <row r="4" customFormat="false" ht="15" hidden="false" customHeight="false" outlineLevel="0" collapsed="false">
      <c r="A4" s="2"/>
      <c r="B4" s="2"/>
      <c r="C4" s="2"/>
    </row>
    <row r="5" customFormat="false" ht="15" hidden="false" customHeight="false" outlineLevel="0" collapsed="false">
      <c r="A5" s="4" t="s">
        <v>2</v>
      </c>
      <c r="B5" s="5"/>
      <c r="C5" s="5"/>
    </row>
    <row r="6" customFormat="false" ht="15" hidden="false" customHeight="false" outlineLevel="0" collapsed="false">
      <c r="A6" s="2" t="s">
        <v>3</v>
      </c>
      <c r="B6" s="6" t="n">
        <f aca="false">Pages!E106</f>
        <v>9202</v>
      </c>
      <c r="C6" s="2"/>
    </row>
    <row r="7" customFormat="false" ht="15" hidden="false" customHeight="false" outlineLevel="0" collapsed="false">
      <c r="A7" s="2" t="s">
        <v>4</v>
      </c>
      <c r="B7" s="6" t="n">
        <f aca="false">Pages!F106</f>
        <v>443</v>
      </c>
      <c r="C7" s="2"/>
    </row>
    <row r="8" customFormat="false" ht="15" hidden="false" customHeight="false" outlineLevel="0" collapsed="false">
      <c r="A8" s="2" t="s">
        <v>5</v>
      </c>
      <c r="B8" s="7" t="n">
        <f aca="false">IFERROR(Pages!F106/Pages!E106,"")</f>
        <v>0.0481417083242773</v>
      </c>
      <c r="C8" s="2"/>
    </row>
    <row r="9" customFormat="false" ht="15" hidden="false" customHeight="false" outlineLevel="0" collapsed="false">
      <c r="A9" s="2" t="s">
        <v>6</v>
      </c>
      <c r="B9" s="7" t="n">
        <f aca="false">IFERROR(Pages!J106/Pages!E106,"")</f>
        <v>0.000326016083460117</v>
      </c>
      <c r="C9" s="2"/>
    </row>
    <row r="10" customFormat="false" ht="15" hidden="false" customHeight="false" outlineLevel="0" collapsed="false">
      <c r="A10" s="2" t="s">
        <v>7</v>
      </c>
      <c r="B10" s="7" t="n">
        <f aca="false">IFERROR(Pages!F106/Daily!H$123,"")</f>
        <v>0.0423315814620162</v>
      </c>
      <c r="C10" s="2"/>
    </row>
    <row r="11" customFormat="false" ht="15" hidden="false" customHeight="false" outlineLevel="0" collapsed="false">
      <c r="A11" s="2" t="s">
        <v>8</v>
      </c>
      <c r="B11" s="6" t="n">
        <f aca="false">COUNTIF(Pages!O2:O105,"cited*")</f>
        <v>88</v>
      </c>
      <c r="C11" s="2"/>
    </row>
    <row r="12" customFormat="false" ht="15" hidden="false" customHeight="false" outlineLevel="0" collapsed="false">
      <c r="A12" s="2" t="s">
        <v>9</v>
      </c>
      <c r="B12" s="6" t="n">
        <f aca="false">COUNTIF(Pages!O2:O105,"*landed")+COUNTIF(Pages!O2:O105,"landings*")</f>
        <v>75</v>
      </c>
      <c r="C12" s="2"/>
    </row>
    <row r="13" customFormat="false" ht="15" hidden="false" customHeight="false" outlineLevel="0" collapsed="false">
      <c r="A13" s="2"/>
      <c r="B13" s="2"/>
      <c r="C13" s="2"/>
    </row>
    <row r="14" customFormat="false" ht="15" hidden="false" customHeight="false" outlineLevel="0" collapsed="false">
      <c r="A14" s="4" t="s">
        <v>10</v>
      </c>
      <c r="B14" s="5"/>
      <c r="C14" s="5"/>
    </row>
    <row r="15" customFormat="false" ht="25.5" hidden="false" customHeight="true" outlineLevel="0" collapsed="false">
      <c r="A15" s="8" t="s">
        <v>11</v>
      </c>
      <c r="B15" s="9" t="s">
        <v>12</v>
      </c>
      <c r="C15" s="2"/>
    </row>
    <row r="16" customFormat="false" ht="39" hidden="false" customHeight="true" outlineLevel="0" collapsed="false">
      <c r="A16" s="8" t="s">
        <v>13</v>
      </c>
      <c r="B16" s="9" t="s">
        <v>14</v>
      </c>
      <c r="C16" s="2"/>
    </row>
    <row r="17" customFormat="false" ht="39" hidden="false" customHeight="true" outlineLevel="0" collapsed="false">
      <c r="A17" s="8" t="s">
        <v>15</v>
      </c>
      <c r="B17" s="9" t="s">
        <v>16</v>
      </c>
      <c r="C17" s="2"/>
    </row>
    <row r="18" customFormat="false" ht="15" hidden="false" customHeight="true" outlineLevel="0" collapsed="false">
      <c r="A18" s="8" t="s">
        <v>17</v>
      </c>
      <c r="B18" s="9" t="s">
        <v>18</v>
      </c>
      <c r="C18" s="2"/>
    </row>
    <row r="19" customFormat="false" ht="15" hidden="false" customHeight="true" outlineLevel="0" collapsed="false">
      <c r="A19" s="8" t="s">
        <v>19</v>
      </c>
      <c r="B19" s="9" t="s">
        <v>20</v>
      </c>
      <c r="C19" s="2"/>
    </row>
    <row r="20" customFormat="false" ht="25.5" hidden="false" customHeight="true" outlineLevel="0" collapsed="false">
      <c r="A20" s="8" t="s">
        <v>21</v>
      </c>
      <c r="B20" s="9" t="s">
        <v>22</v>
      </c>
      <c r="C20" s="2"/>
    </row>
    <row r="21" customFormat="false" ht="15" hidden="false" customHeight="false" outlineLevel="0" collapsed="false">
      <c r="A21" s="2"/>
      <c r="B21" s="2"/>
      <c r="C21" s="2"/>
    </row>
    <row r="22" customFormat="false" ht="15" hidden="false" customHeight="false" outlineLevel="0" collapsed="false">
      <c r="A22" s="4" t="s">
        <v>23</v>
      </c>
      <c r="B22" s="5"/>
      <c r="C22" s="5"/>
    </row>
    <row r="23" customFormat="false" ht="25.5" hidden="false" customHeight="true" outlineLevel="0" collapsed="false">
      <c r="A23" s="8" t="s">
        <v>24</v>
      </c>
      <c r="B23" s="9" t="s">
        <v>25</v>
      </c>
      <c r="C23" s="2"/>
    </row>
    <row r="24" customFormat="false" ht="39" hidden="false" customHeight="true" outlineLevel="0" collapsed="false">
      <c r="A24" s="8" t="s">
        <v>26</v>
      </c>
      <c r="B24" s="9" t="s">
        <v>27</v>
      </c>
      <c r="C24" s="2"/>
    </row>
    <row r="25" customFormat="false" ht="39" hidden="false" customHeight="true" outlineLevel="0" collapsed="false">
      <c r="A25" s="8" t="s">
        <v>28</v>
      </c>
      <c r="B25" s="9" t="s">
        <v>29</v>
      </c>
      <c r="C25" s="2"/>
    </row>
    <row r="26" customFormat="false" ht="15" hidden="false" customHeight="false" outlineLevel="0" collapsed="false">
      <c r="A26" s="2"/>
      <c r="B26" s="2"/>
      <c r="C26" s="2"/>
    </row>
    <row r="27" customFormat="false" ht="15" hidden="false" customHeight="false" outlineLevel="0" collapsed="false">
      <c r="A27" s="4" t="s">
        <v>30</v>
      </c>
      <c r="B27" s="5"/>
      <c r="C27" s="5"/>
    </row>
    <row r="28" customFormat="false" ht="51.75" hidden="false" customHeight="true" outlineLevel="0" collapsed="false">
      <c r="A28" s="8" t="s">
        <v>31</v>
      </c>
      <c r="B28" s="9" t="s">
        <v>32</v>
      </c>
      <c r="C28" s="2"/>
    </row>
    <row r="29" customFormat="false" ht="39" hidden="false" customHeight="true" outlineLevel="0" collapsed="false">
      <c r="A29" s="8" t="s">
        <v>33</v>
      </c>
      <c r="B29" s="9" t="s">
        <v>34</v>
      </c>
      <c r="C29" s="2"/>
    </row>
    <row r="30" customFormat="false" ht="39" hidden="false" customHeight="true" outlineLevel="0" collapsed="false">
      <c r="A30" s="8" t="s">
        <v>35</v>
      </c>
      <c r="B30" s="9" t="s">
        <v>36</v>
      </c>
      <c r="C30" s="2"/>
    </row>
    <row r="31" customFormat="false" ht="39" hidden="false" customHeight="true" outlineLevel="0" collapsed="false">
      <c r="A31" s="8" t="s">
        <v>37</v>
      </c>
      <c r="B31" s="9" t="s">
        <v>38</v>
      </c>
      <c r="C31" s="2"/>
    </row>
    <row r="32" customFormat="false" ht="25.5" hidden="false" customHeight="true" outlineLevel="0" collapsed="false">
      <c r="A32" s="8" t="s">
        <v>39</v>
      </c>
      <c r="B32" s="9" t="s">
        <v>40</v>
      </c>
      <c r="C32" s="2"/>
    </row>
    <row r="33" customFormat="false" ht="25.5" hidden="false" customHeight="true" outlineLevel="0" collapsed="false">
      <c r="A33" s="8" t="s">
        <v>41</v>
      </c>
      <c r="B33" s="9" t="s">
        <v>42</v>
      </c>
      <c r="C33" s="2"/>
    </row>
    <row r="34" customFormat="false" ht="15" hidden="false" customHeight="false" outlineLevel="0" collapsed="false">
      <c r="A34" s="2"/>
      <c r="B34" s="2"/>
      <c r="C34" s="2"/>
    </row>
    <row r="35" customFormat="false" ht="15" hidden="false" customHeight="false" outlineLevel="0" collapsed="false">
      <c r="A35" s="4" t="s">
        <v>43</v>
      </c>
      <c r="B35" s="5"/>
      <c r="C35" s="5"/>
    </row>
    <row r="36" customFormat="false" ht="25.5" hidden="false" customHeight="true" outlineLevel="0" collapsed="false">
      <c r="A36" s="8" t="s">
        <v>44</v>
      </c>
      <c r="B36" s="9" t="s">
        <v>45</v>
      </c>
      <c r="C36" s="2"/>
    </row>
    <row r="37" customFormat="false" ht="25.5" hidden="false" customHeight="true" outlineLevel="0" collapsed="false">
      <c r="A37" s="8" t="s">
        <v>46</v>
      </c>
      <c r="B37" s="9" t="s">
        <v>47</v>
      </c>
      <c r="C37" s="2"/>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46"/>
    <col collapsed="false" customWidth="true" hidden="false" outlineLevel="0" max="4" min="4" style="0" width="62"/>
    <col collapsed="false" customWidth="true" hidden="false" outlineLevel="0" max="5" min="5" style="0" width="46"/>
    <col collapsed="false" customWidth="true" hidden="false" outlineLevel="0" max="6" min="6" style="0" width="14"/>
    <col collapsed="false" customWidth="true" hidden="false" outlineLevel="0" max="7" min="7" style="0" width="62"/>
    <col collapsed="false" customWidth="true" hidden="false" outlineLevel="0" max="8" min="8" style="0" width="12"/>
    <col collapsed="false" customWidth="true" hidden="false" outlineLevel="0" max="9" min="9" style="0" width="10"/>
    <col collapsed="false" customWidth="true" hidden="false" outlineLevel="0" max="10" min="10" style="0" width="16"/>
  </cols>
  <sheetData>
    <row r="1" customFormat="false" ht="30" hidden="false" customHeight="true" outlineLevel="0" collapsed="false">
      <c r="A1" s="10" t="s">
        <v>48</v>
      </c>
      <c r="B1" s="10" t="s">
        <v>49</v>
      </c>
      <c r="C1" s="10" t="s">
        <v>50</v>
      </c>
      <c r="D1" s="10" t="s">
        <v>51</v>
      </c>
      <c r="E1" s="10" t="s">
        <v>52</v>
      </c>
      <c r="F1" s="10" t="s">
        <v>53</v>
      </c>
      <c r="G1" s="10" t="s">
        <v>54</v>
      </c>
      <c r="H1" s="10" t="s">
        <v>55</v>
      </c>
      <c r="I1" s="10" t="s">
        <v>56</v>
      </c>
      <c r="J1" s="10" t="s">
        <v>57</v>
      </c>
    </row>
    <row r="2" customFormat="false" ht="15" hidden="false" customHeight="false" outlineLevel="0" collapsed="false">
      <c r="A2" s="11" t="n">
        <v>46157</v>
      </c>
      <c r="B2" s="2" t="s">
        <v>58</v>
      </c>
      <c r="C2" s="2" t="s">
        <v>59</v>
      </c>
      <c r="D2" s="2" t="s">
        <v>60</v>
      </c>
      <c r="E2" s="2" t="s">
        <v>61</v>
      </c>
      <c r="F2" s="2" t="s">
        <v>62</v>
      </c>
      <c r="G2" s="2" t="s">
        <v>60</v>
      </c>
      <c r="H2" s="2" t="s">
        <v>63</v>
      </c>
      <c r="I2" s="12" t="n">
        <v>1</v>
      </c>
      <c r="J2" s="12" t="n">
        <f aca="false">IF(COUNTIFS($D$2:$D2,$D2,$A$2:$A2,$A2)=1,1,0)</f>
        <v>1</v>
      </c>
    </row>
    <row r="3" customFormat="false" ht="15" hidden="false" customHeight="false" outlineLevel="0" collapsed="false">
      <c r="A3" s="11" t="n">
        <v>46158</v>
      </c>
      <c r="B3" s="2" t="s">
        <v>64</v>
      </c>
      <c r="C3" s="2" t="s">
        <v>65</v>
      </c>
      <c r="D3" s="2" t="s">
        <v>66</v>
      </c>
      <c r="E3" s="2" t="s">
        <v>67</v>
      </c>
      <c r="F3" s="2" t="s">
        <v>62</v>
      </c>
      <c r="G3" s="2" t="s">
        <v>66</v>
      </c>
      <c r="H3" s="2" t="s">
        <v>63</v>
      </c>
      <c r="I3" s="12" t="n">
        <v>1</v>
      </c>
      <c r="J3" s="12" t="n">
        <f aca="false">IF(COUNTIFS($D$2:$D3,$D3,$A$2:$A3,$A3)=1,1,0)</f>
        <v>1</v>
      </c>
    </row>
    <row r="4" customFormat="false" ht="15" hidden="false" customHeight="false" outlineLevel="0" collapsed="false">
      <c r="A4" s="11" t="n">
        <v>46160</v>
      </c>
      <c r="B4" s="2" t="s">
        <v>58</v>
      </c>
      <c r="C4" s="2" t="s">
        <v>68</v>
      </c>
      <c r="D4" s="2" t="s">
        <v>69</v>
      </c>
      <c r="E4" s="2" t="s">
        <v>70</v>
      </c>
      <c r="F4" s="2" t="s">
        <v>62</v>
      </c>
      <c r="G4" s="2" t="s">
        <v>69</v>
      </c>
      <c r="H4" s="2" t="s">
        <v>63</v>
      </c>
      <c r="I4" s="12" t="n">
        <v>1</v>
      </c>
      <c r="J4" s="12" t="n">
        <f aca="false">IF(COUNTIFS($D$2:$D4,$D4,$A$2:$A4,$A4)=1,1,0)</f>
        <v>1</v>
      </c>
    </row>
    <row r="5" customFormat="false" ht="15" hidden="false" customHeight="false" outlineLevel="0" collapsed="false">
      <c r="A5" s="11" t="n">
        <v>46161</v>
      </c>
      <c r="B5" s="2" t="s">
        <v>64</v>
      </c>
      <c r="C5" s="2" t="s">
        <v>71</v>
      </c>
      <c r="D5" s="2" t="s">
        <v>72</v>
      </c>
      <c r="E5" s="2" t="s">
        <v>73</v>
      </c>
      <c r="F5" s="2" t="s">
        <v>62</v>
      </c>
      <c r="G5" s="2" t="s">
        <v>74</v>
      </c>
      <c r="H5" s="2" t="s">
        <v>75</v>
      </c>
      <c r="I5" s="12" t="n">
        <v>1</v>
      </c>
      <c r="J5" s="12" t="n">
        <f aca="false">IF(COUNTIFS($D$2:$D5,$D5,$A$2:$A5,$A5)=1,1,0)</f>
        <v>1</v>
      </c>
    </row>
    <row r="6" customFormat="false" ht="15" hidden="false" customHeight="false" outlineLevel="0" collapsed="false">
      <c r="A6" s="11" t="n">
        <v>46161</v>
      </c>
      <c r="B6" s="2" t="s">
        <v>64</v>
      </c>
      <c r="C6" s="2" t="s">
        <v>71</v>
      </c>
      <c r="D6" s="2" t="s">
        <v>72</v>
      </c>
      <c r="E6" s="2" t="s">
        <v>73</v>
      </c>
      <c r="F6" s="2" t="s">
        <v>62</v>
      </c>
      <c r="G6" s="2" t="s">
        <v>76</v>
      </c>
      <c r="H6" s="2" t="s">
        <v>75</v>
      </c>
      <c r="I6" s="12" t="n">
        <v>1</v>
      </c>
      <c r="J6" s="12" t="n">
        <f aca="false">IF(COUNTIFS($D$2:$D6,$D6,$A$2:$A6,$A6)=1,1,0)</f>
        <v>0</v>
      </c>
    </row>
    <row r="7" customFormat="false" ht="15" hidden="false" customHeight="false" outlineLevel="0" collapsed="false">
      <c r="A7" s="11" t="n">
        <v>46162</v>
      </c>
      <c r="B7" s="2" t="s">
        <v>64</v>
      </c>
      <c r="C7" s="2" t="s">
        <v>59</v>
      </c>
      <c r="D7" s="2" t="s">
        <v>60</v>
      </c>
      <c r="E7" s="2" t="s">
        <v>61</v>
      </c>
      <c r="F7" s="2" t="s">
        <v>62</v>
      </c>
      <c r="G7" s="2" t="s">
        <v>77</v>
      </c>
      <c r="H7" s="2" t="s">
        <v>75</v>
      </c>
      <c r="I7" s="12" t="n">
        <v>1</v>
      </c>
      <c r="J7" s="12" t="n">
        <f aca="false">IF(COUNTIFS($D$2:$D7,$D7,$A$2:$A7,$A7)=1,1,0)</f>
        <v>1</v>
      </c>
    </row>
    <row r="8" customFormat="false" ht="15" hidden="false" customHeight="false" outlineLevel="0" collapsed="false">
      <c r="A8" s="11" t="n">
        <v>46162</v>
      </c>
      <c r="B8" s="2" t="s">
        <v>64</v>
      </c>
      <c r="C8" s="2" t="s">
        <v>59</v>
      </c>
      <c r="D8" s="2" t="s">
        <v>60</v>
      </c>
      <c r="E8" s="2" t="s">
        <v>61</v>
      </c>
      <c r="F8" s="2" t="s">
        <v>62</v>
      </c>
      <c r="G8" s="2" t="s">
        <v>60</v>
      </c>
      <c r="H8" s="2" t="s">
        <v>63</v>
      </c>
      <c r="I8" s="12" t="n">
        <v>1</v>
      </c>
      <c r="J8" s="12" t="n">
        <f aca="false">IF(COUNTIFS($D$2:$D8,$D8,$A$2:$A8,$A8)=1,1,0)</f>
        <v>0</v>
      </c>
    </row>
    <row r="9" customFormat="false" ht="15" hidden="false" customHeight="false" outlineLevel="0" collapsed="false">
      <c r="A9" s="11" t="n">
        <v>46163</v>
      </c>
      <c r="B9" s="2" t="s">
        <v>64</v>
      </c>
      <c r="C9" s="2" t="s">
        <v>78</v>
      </c>
      <c r="D9" s="2" t="s">
        <v>79</v>
      </c>
      <c r="E9" s="2" t="s">
        <v>80</v>
      </c>
      <c r="F9" s="2" t="s">
        <v>62</v>
      </c>
      <c r="G9" s="2" t="s">
        <v>81</v>
      </c>
      <c r="H9" s="2" t="s">
        <v>75</v>
      </c>
      <c r="I9" s="12" t="n">
        <v>2</v>
      </c>
      <c r="J9" s="12" t="n">
        <f aca="false">IF(COUNTIFS($D$2:$D9,$D9,$A$2:$A9,$A9)=1,1,0)</f>
        <v>1</v>
      </c>
    </row>
    <row r="10" customFormat="false" ht="15" hidden="false" customHeight="false" outlineLevel="0" collapsed="false">
      <c r="A10" s="11" t="n">
        <v>46163</v>
      </c>
      <c r="B10" s="2" t="s">
        <v>64</v>
      </c>
      <c r="C10" s="2" t="s">
        <v>82</v>
      </c>
      <c r="D10" s="2" t="s">
        <v>83</v>
      </c>
      <c r="E10" s="2" t="s">
        <v>84</v>
      </c>
      <c r="F10" s="2" t="s">
        <v>62</v>
      </c>
      <c r="G10" s="2" t="s">
        <v>85</v>
      </c>
      <c r="H10" s="2" t="s">
        <v>75</v>
      </c>
      <c r="I10" s="12" t="n">
        <v>1</v>
      </c>
      <c r="J10" s="12" t="n">
        <f aca="false">IF(COUNTIFS($D$2:$D10,$D10,$A$2:$A10,$A10)=1,1,0)</f>
        <v>1</v>
      </c>
    </row>
    <row r="11" customFormat="false" ht="15" hidden="false" customHeight="false" outlineLevel="0" collapsed="false">
      <c r="A11" s="11" t="n">
        <v>46164</v>
      </c>
      <c r="B11" s="2" t="s">
        <v>86</v>
      </c>
      <c r="C11" s="2" t="s">
        <v>87</v>
      </c>
      <c r="D11" s="2" t="s">
        <v>88</v>
      </c>
      <c r="E11" s="2" t="s">
        <v>89</v>
      </c>
      <c r="F11" s="2" t="s">
        <v>62</v>
      </c>
      <c r="G11" s="2" t="s">
        <v>90</v>
      </c>
      <c r="H11" s="2" t="s">
        <v>75</v>
      </c>
      <c r="I11" s="12" t="n">
        <v>1</v>
      </c>
      <c r="J11" s="12" t="n">
        <f aca="false">IF(COUNTIFS($D$2:$D11,$D11,$A$2:$A11,$A11)=1,1,0)</f>
        <v>1</v>
      </c>
    </row>
    <row r="12" customFormat="false" ht="15" hidden="false" customHeight="false" outlineLevel="0" collapsed="false">
      <c r="A12" s="11" t="n">
        <v>46164</v>
      </c>
      <c r="B12" s="2" t="s">
        <v>64</v>
      </c>
      <c r="C12" s="2" t="s">
        <v>91</v>
      </c>
      <c r="D12" s="2" t="s">
        <v>92</v>
      </c>
      <c r="E12" s="2" t="s">
        <v>93</v>
      </c>
      <c r="F12" s="2" t="s">
        <v>94</v>
      </c>
      <c r="G12" s="2" t="s">
        <v>92</v>
      </c>
      <c r="H12" s="2" t="s">
        <v>63</v>
      </c>
      <c r="I12" s="12" t="n">
        <v>1</v>
      </c>
      <c r="J12" s="12" t="n">
        <f aca="false">IF(COUNTIFS($D$2:$D12,$D12,$A$2:$A12,$A12)=1,1,0)</f>
        <v>1</v>
      </c>
    </row>
    <row r="13" customFormat="false" ht="15" hidden="false" customHeight="false" outlineLevel="0" collapsed="false">
      <c r="A13" s="11" t="n">
        <v>46167</v>
      </c>
      <c r="B13" s="2" t="s">
        <v>58</v>
      </c>
      <c r="C13" s="2" t="s">
        <v>95</v>
      </c>
      <c r="D13" s="2" t="s">
        <v>96</v>
      </c>
      <c r="E13" s="2" t="s">
        <v>97</v>
      </c>
      <c r="F13" s="2" t="s">
        <v>62</v>
      </c>
      <c r="G13" s="2" t="s">
        <v>96</v>
      </c>
      <c r="H13" s="2" t="s">
        <v>63</v>
      </c>
      <c r="I13" s="12" t="n">
        <v>1</v>
      </c>
      <c r="J13" s="12" t="n">
        <f aca="false">IF(COUNTIFS($D$2:$D13,$D13,$A$2:$A13,$A13)=1,1,0)</f>
        <v>1</v>
      </c>
    </row>
    <row r="14" customFormat="false" ht="15" hidden="false" customHeight="false" outlineLevel="0" collapsed="false">
      <c r="A14" s="11" t="n">
        <v>46167</v>
      </c>
      <c r="B14" s="2" t="s">
        <v>64</v>
      </c>
      <c r="C14" s="2" t="s">
        <v>82</v>
      </c>
      <c r="D14" s="2" t="s">
        <v>83</v>
      </c>
      <c r="E14" s="2" t="s">
        <v>84</v>
      </c>
      <c r="F14" s="2" t="s">
        <v>62</v>
      </c>
      <c r="G14" s="2" t="s">
        <v>85</v>
      </c>
      <c r="H14" s="2" t="s">
        <v>75</v>
      </c>
      <c r="I14" s="12" t="n">
        <v>1</v>
      </c>
      <c r="J14" s="12" t="n">
        <f aca="false">IF(COUNTIFS($D$2:$D14,$D14,$A$2:$A14,$A14)=1,1,0)</f>
        <v>1</v>
      </c>
    </row>
    <row r="15" customFormat="false" ht="15" hidden="false" customHeight="false" outlineLevel="0" collapsed="false">
      <c r="A15" s="11" t="n">
        <v>46168</v>
      </c>
      <c r="B15" s="2" t="s">
        <v>98</v>
      </c>
      <c r="C15" s="2" t="s">
        <v>99</v>
      </c>
      <c r="D15" s="2" t="s">
        <v>100</v>
      </c>
      <c r="E15" s="2" t="s">
        <v>101</v>
      </c>
      <c r="F15" s="2" t="s">
        <v>94</v>
      </c>
      <c r="G15" s="2" t="s">
        <v>100</v>
      </c>
      <c r="H15" s="2" t="s">
        <v>63</v>
      </c>
      <c r="I15" s="12" t="n">
        <v>1</v>
      </c>
      <c r="J15" s="12" t="n">
        <f aca="false">IF(COUNTIFS($D$2:$D15,$D15,$A$2:$A15,$A15)=1,1,0)</f>
        <v>1</v>
      </c>
    </row>
    <row r="16" customFormat="false" ht="15" hidden="false" customHeight="false" outlineLevel="0" collapsed="false">
      <c r="A16" s="11" t="n">
        <v>46168</v>
      </c>
      <c r="B16" s="2" t="s">
        <v>64</v>
      </c>
      <c r="C16" s="2" t="s">
        <v>78</v>
      </c>
      <c r="D16" s="2" t="s">
        <v>79</v>
      </c>
      <c r="E16" s="2" t="s">
        <v>80</v>
      </c>
      <c r="F16" s="2" t="s">
        <v>62</v>
      </c>
      <c r="G16" s="2" t="s">
        <v>81</v>
      </c>
      <c r="H16" s="2" t="s">
        <v>75</v>
      </c>
      <c r="I16" s="12" t="n">
        <v>1</v>
      </c>
      <c r="J16" s="12" t="n">
        <f aca="false">IF(COUNTIFS($D$2:$D16,$D16,$A$2:$A16,$A16)=1,1,0)</f>
        <v>1</v>
      </c>
    </row>
    <row r="17" customFormat="false" ht="15" hidden="false" customHeight="false" outlineLevel="0" collapsed="false">
      <c r="A17" s="11" t="n">
        <v>46168</v>
      </c>
      <c r="B17" s="2" t="s">
        <v>98</v>
      </c>
      <c r="C17" s="2" t="s">
        <v>102</v>
      </c>
      <c r="D17" s="2" t="s">
        <v>103</v>
      </c>
      <c r="E17" s="2" t="s">
        <v>104</v>
      </c>
      <c r="F17" s="2" t="s">
        <v>94</v>
      </c>
      <c r="G17" s="2" t="s">
        <v>105</v>
      </c>
      <c r="H17" s="2" t="s">
        <v>75</v>
      </c>
      <c r="I17" s="12" t="n">
        <v>1</v>
      </c>
      <c r="J17" s="12" t="n">
        <f aca="false">IF(COUNTIFS($D$2:$D17,$D17,$A$2:$A17,$A17)=1,1,0)</f>
        <v>1</v>
      </c>
    </row>
    <row r="18" customFormat="false" ht="15" hidden="false" customHeight="false" outlineLevel="0" collapsed="false">
      <c r="A18" s="11" t="n">
        <v>46168</v>
      </c>
      <c r="B18" s="2" t="s">
        <v>98</v>
      </c>
      <c r="C18" s="2" t="s">
        <v>91</v>
      </c>
      <c r="D18" s="2" t="s">
        <v>92</v>
      </c>
      <c r="E18" s="2" t="s">
        <v>93</v>
      </c>
      <c r="F18" s="2" t="s">
        <v>94</v>
      </c>
      <c r="G18" s="2" t="s">
        <v>92</v>
      </c>
      <c r="H18" s="2" t="s">
        <v>63</v>
      </c>
      <c r="I18" s="12" t="n">
        <v>1</v>
      </c>
      <c r="J18" s="12" t="n">
        <f aca="false">IF(COUNTIFS($D$2:$D18,$D18,$A$2:$A18,$A18)=1,1,0)</f>
        <v>1</v>
      </c>
    </row>
    <row r="19" customFormat="false" ht="15" hidden="false" customHeight="false" outlineLevel="0" collapsed="false">
      <c r="A19" s="11" t="n">
        <v>46169</v>
      </c>
      <c r="B19" s="2" t="s">
        <v>58</v>
      </c>
      <c r="C19" s="2" t="s">
        <v>106</v>
      </c>
      <c r="D19" s="2" t="s">
        <v>107</v>
      </c>
      <c r="E19" s="2" t="s">
        <v>108</v>
      </c>
      <c r="F19" s="2" t="s">
        <v>109</v>
      </c>
      <c r="G19" s="2" t="s">
        <v>107</v>
      </c>
      <c r="H19" s="2" t="s">
        <v>63</v>
      </c>
      <c r="I19" s="12" t="n">
        <v>1</v>
      </c>
      <c r="J19" s="12" t="n">
        <f aca="false">IF(COUNTIFS($D$2:$D19,$D19,$A$2:$A19,$A19)=1,1,0)</f>
        <v>1</v>
      </c>
    </row>
    <row r="20" customFormat="false" ht="15" hidden="false" customHeight="false" outlineLevel="0" collapsed="false">
      <c r="A20" s="11" t="n">
        <v>46169</v>
      </c>
      <c r="B20" s="2" t="s">
        <v>64</v>
      </c>
      <c r="C20" s="2" t="s">
        <v>65</v>
      </c>
      <c r="D20" s="2" t="s">
        <v>66</v>
      </c>
      <c r="E20" s="2" t="s">
        <v>67</v>
      </c>
      <c r="F20" s="2" t="s">
        <v>62</v>
      </c>
      <c r="G20" s="2" t="s">
        <v>110</v>
      </c>
      <c r="H20" s="2" t="s">
        <v>75</v>
      </c>
      <c r="I20" s="12" t="n">
        <v>1</v>
      </c>
      <c r="J20" s="12" t="n">
        <f aca="false">IF(COUNTIFS($D$2:$D20,$D20,$A$2:$A20,$A20)=1,1,0)</f>
        <v>1</v>
      </c>
    </row>
    <row r="21" customFormat="false" ht="15" hidden="false" customHeight="false" outlineLevel="0" collapsed="false">
      <c r="A21" s="11" t="n">
        <v>46169</v>
      </c>
      <c r="B21" s="2" t="s">
        <v>64</v>
      </c>
      <c r="C21" s="2" t="s">
        <v>78</v>
      </c>
      <c r="D21" s="2" t="s">
        <v>79</v>
      </c>
      <c r="E21" s="2" t="s">
        <v>80</v>
      </c>
      <c r="F21" s="2" t="s">
        <v>62</v>
      </c>
      <c r="G21" s="2" t="s">
        <v>81</v>
      </c>
      <c r="H21" s="2" t="s">
        <v>75</v>
      </c>
      <c r="I21" s="12" t="n">
        <v>2</v>
      </c>
      <c r="J21" s="12" t="n">
        <f aca="false">IF(COUNTIFS($D$2:$D21,$D21,$A$2:$A21,$A21)=1,1,0)</f>
        <v>1</v>
      </c>
    </row>
    <row r="22" customFormat="false" ht="15" hidden="false" customHeight="false" outlineLevel="0" collapsed="false">
      <c r="A22" s="11" t="n">
        <v>46170</v>
      </c>
      <c r="B22" s="2" t="s">
        <v>64</v>
      </c>
      <c r="C22" s="2" t="s">
        <v>99</v>
      </c>
      <c r="D22" s="2" t="s">
        <v>100</v>
      </c>
      <c r="E22" s="2" t="s">
        <v>101</v>
      </c>
      <c r="F22" s="2" t="s">
        <v>94</v>
      </c>
      <c r="G22" s="2" t="s">
        <v>111</v>
      </c>
      <c r="H22" s="2" t="s">
        <v>75</v>
      </c>
      <c r="I22" s="12" t="n">
        <v>1</v>
      </c>
      <c r="J22" s="12" t="n">
        <f aca="false">IF(COUNTIFS($D$2:$D22,$D22,$A$2:$A22,$A22)=1,1,0)</f>
        <v>1</v>
      </c>
    </row>
    <row r="23" customFormat="false" ht="15" hidden="false" customHeight="false" outlineLevel="0" collapsed="false">
      <c r="A23" s="11" t="n">
        <v>46170</v>
      </c>
      <c r="B23" s="2" t="s">
        <v>64</v>
      </c>
      <c r="C23" s="2" t="s">
        <v>112</v>
      </c>
      <c r="D23" s="2" t="s">
        <v>113</v>
      </c>
      <c r="E23" s="2" t="s">
        <v>114</v>
      </c>
      <c r="F23" s="2" t="s">
        <v>62</v>
      </c>
      <c r="G23" s="2" t="s">
        <v>115</v>
      </c>
      <c r="H23" s="2" t="s">
        <v>75</v>
      </c>
      <c r="I23" s="12" t="n">
        <v>1</v>
      </c>
      <c r="J23" s="12" t="n">
        <f aca="false">IF(COUNTIFS($D$2:$D23,$D23,$A$2:$A23,$A23)=1,1,0)</f>
        <v>1</v>
      </c>
    </row>
    <row r="24" customFormat="false" ht="15" hidden="false" customHeight="false" outlineLevel="0" collapsed="false">
      <c r="A24" s="11" t="n">
        <v>46170</v>
      </c>
      <c r="B24" s="2" t="s">
        <v>64</v>
      </c>
      <c r="C24" s="2" t="s">
        <v>78</v>
      </c>
      <c r="D24" s="2" t="s">
        <v>79</v>
      </c>
      <c r="E24" s="2" t="s">
        <v>80</v>
      </c>
      <c r="F24" s="2" t="s">
        <v>62</v>
      </c>
      <c r="G24" s="2" t="s">
        <v>81</v>
      </c>
      <c r="H24" s="2" t="s">
        <v>75</v>
      </c>
      <c r="I24" s="12" t="n">
        <v>2</v>
      </c>
      <c r="J24" s="12" t="n">
        <f aca="false">IF(COUNTIFS($D$2:$D24,$D24,$A$2:$A24,$A24)=1,1,0)</f>
        <v>1</v>
      </c>
    </row>
    <row r="25" customFormat="false" ht="15" hidden="false" customHeight="false" outlineLevel="0" collapsed="false">
      <c r="A25" s="11" t="n">
        <v>46171</v>
      </c>
      <c r="B25" s="2" t="s">
        <v>64</v>
      </c>
      <c r="C25" s="2" t="s">
        <v>116</v>
      </c>
      <c r="D25" s="2" t="s">
        <v>117</v>
      </c>
      <c r="E25" s="2" t="s">
        <v>118</v>
      </c>
      <c r="F25" s="2" t="s">
        <v>94</v>
      </c>
      <c r="G25" s="2" t="s">
        <v>119</v>
      </c>
      <c r="H25" s="2" t="s">
        <v>75</v>
      </c>
      <c r="I25" s="12" t="n">
        <v>1</v>
      </c>
      <c r="J25" s="12" t="n">
        <f aca="false">IF(COUNTIFS($D$2:$D25,$D25,$A$2:$A25,$A25)=1,1,0)</f>
        <v>1</v>
      </c>
    </row>
    <row r="26" customFormat="false" ht="15" hidden="false" customHeight="false" outlineLevel="0" collapsed="false">
      <c r="A26" s="11" t="n">
        <v>46174</v>
      </c>
      <c r="B26" s="2" t="s">
        <v>86</v>
      </c>
      <c r="C26" s="2" t="s">
        <v>87</v>
      </c>
      <c r="D26" s="2" t="s">
        <v>88</v>
      </c>
      <c r="E26" s="2" t="s">
        <v>89</v>
      </c>
      <c r="F26" s="2" t="s">
        <v>62</v>
      </c>
      <c r="G26" s="2" t="s">
        <v>90</v>
      </c>
      <c r="H26" s="2" t="s">
        <v>75</v>
      </c>
      <c r="I26" s="12" t="n">
        <v>1</v>
      </c>
      <c r="J26" s="12" t="n">
        <f aca="false">IF(COUNTIFS($D$2:$D26,$D26,$A$2:$A26,$A26)=1,1,0)</f>
        <v>1</v>
      </c>
    </row>
    <row r="27" customFormat="false" ht="15" hidden="false" customHeight="false" outlineLevel="0" collapsed="false">
      <c r="A27" s="11" t="n">
        <v>46175</v>
      </c>
      <c r="B27" s="2" t="s">
        <v>64</v>
      </c>
      <c r="C27" s="2" t="s">
        <v>120</v>
      </c>
      <c r="D27" s="2" t="s">
        <v>121</v>
      </c>
      <c r="E27" s="2" t="s">
        <v>122</v>
      </c>
      <c r="F27" s="2" t="s">
        <v>62</v>
      </c>
      <c r="G27" s="2" t="s">
        <v>123</v>
      </c>
      <c r="H27" s="2" t="s">
        <v>75</v>
      </c>
      <c r="I27" s="12" t="n">
        <v>1</v>
      </c>
      <c r="J27" s="12" t="n">
        <f aca="false">IF(COUNTIFS($D$2:$D27,$D27,$A$2:$A27,$A27)=1,1,0)</f>
        <v>1</v>
      </c>
    </row>
    <row r="28" customFormat="false" ht="15" hidden="false" customHeight="false" outlineLevel="0" collapsed="false">
      <c r="A28" s="11" t="n">
        <v>46175</v>
      </c>
      <c r="B28" s="2" t="s">
        <v>64</v>
      </c>
      <c r="C28" s="2" t="s">
        <v>120</v>
      </c>
      <c r="D28" s="2" t="s">
        <v>121</v>
      </c>
      <c r="E28" s="2" t="s">
        <v>122</v>
      </c>
      <c r="F28" s="2" t="s">
        <v>62</v>
      </c>
      <c r="G28" s="2" t="s">
        <v>121</v>
      </c>
      <c r="H28" s="2" t="s">
        <v>63</v>
      </c>
      <c r="I28" s="12" t="n">
        <v>1</v>
      </c>
      <c r="J28" s="12" t="n">
        <f aca="false">IF(COUNTIFS($D$2:$D28,$D28,$A$2:$A28,$A28)=1,1,0)</f>
        <v>0</v>
      </c>
    </row>
    <row r="29" customFormat="false" ht="15" hidden="false" customHeight="false" outlineLevel="0" collapsed="false">
      <c r="A29" s="11" t="n">
        <v>46175</v>
      </c>
      <c r="B29" s="2" t="s">
        <v>64</v>
      </c>
      <c r="C29" s="2" t="s">
        <v>59</v>
      </c>
      <c r="D29" s="2" t="s">
        <v>60</v>
      </c>
      <c r="E29" s="2" t="s">
        <v>61</v>
      </c>
      <c r="F29" s="2" t="s">
        <v>62</v>
      </c>
      <c r="G29" s="2" t="s">
        <v>77</v>
      </c>
      <c r="H29" s="2" t="s">
        <v>75</v>
      </c>
      <c r="I29" s="12" t="n">
        <v>2</v>
      </c>
      <c r="J29" s="12" t="n">
        <f aca="false">IF(COUNTIFS($D$2:$D29,$D29,$A$2:$A29,$A29)=1,1,0)</f>
        <v>1</v>
      </c>
    </row>
    <row r="30" customFormat="false" ht="15" hidden="false" customHeight="false" outlineLevel="0" collapsed="false">
      <c r="A30" s="11" t="n">
        <v>46175</v>
      </c>
      <c r="B30" s="2" t="s">
        <v>64</v>
      </c>
      <c r="C30" s="2" t="s">
        <v>59</v>
      </c>
      <c r="D30" s="2" t="s">
        <v>60</v>
      </c>
      <c r="E30" s="2" t="s">
        <v>61</v>
      </c>
      <c r="F30" s="2" t="s">
        <v>62</v>
      </c>
      <c r="G30" s="2" t="s">
        <v>60</v>
      </c>
      <c r="H30" s="2" t="s">
        <v>63</v>
      </c>
      <c r="I30" s="12" t="n">
        <v>1</v>
      </c>
      <c r="J30" s="12" t="n">
        <f aca="false">IF(COUNTIFS($D$2:$D30,$D30,$A$2:$A30,$A30)=1,1,0)</f>
        <v>0</v>
      </c>
    </row>
    <row r="31" customFormat="false" ht="15" hidden="false" customHeight="false" outlineLevel="0" collapsed="false">
      <c r="A31" s="11" t="n">
        <v>46176</v>
      </c>
      <c r="B31" s="2" t="s">
        <v>64</v>
      </c>
      <c r="C31" s="2" t="s">
        <v>120</v>
      </c>
      <c r="D31" s="2" t="s">
        <v>121</v>
      </c>
      <c r="E31" s="2" t="s">
        <v>122</v>
      </c>
      <c r="F31" s="2" t="s">
        <v>62</v>
      </c>
      <c r="G31" s="2" t="s">
        <v>123</v>
      </c>
      <c r="H31" s="2" t="s">
        <v>75</v>
      </c>
      <c r="I31" s="12" t="n">
        <v>1</v>
      </c>
      <c r="J31" s="12" t="n">
        <f aca="false">IF(COUNTIFS($D$2:$D31,$D31,$A$2:$A31,$A31)=1,1,0)</f>
        <v>1</v>
      </c>
    </row>
    <row r="32" customFormat="false" ht="15" hidden="false" customHeight="false" outlineLevel="0" collapsed="false">
      <c r="A32" s="11" t="n">
        <v>46177</v>
      </c>
      <c r="B32" s="2" t="s">
        <v>64</v>
      </c>
      <c r="C32" s="2" t="s">
        <v>124</v>
      </c>
      <c r="D32" s="2" t="s">
        <v>125</v>
      </c>
      <c r="E32" s="2" t="s">
        <v>126</v>
      </c>
      <c r="F32" s="2" t="s">
        <v>62</v>
      </c>
      <c r="G32" s="2" t="s">
        <v>127</v>
      </c>
      <c r="H32" s="2" t="s">
        <v>75</v>
      </c>
      <c r="I32" s="12" t="n">
        <v>1</v>
      </c>
      <c r="J32" s="12" t="n">
        <f aca="false">IF(COUNTIFS($D$2:$D32,$D32,$A$2:$A32,$A32)=1,1,0)</f>
        <v>1</v>
      </c>
    </row>
    <row r="33" customFormat="false" ht="15" hidden="false" customHeight="false" outlineLevel="0" collapsed="false">
      <c r="A33" s="11" t="n">
        <v>46177</v>
      </c>
      <c r="B33" s="2" t="s">
        <v>64</v>
      </c>
      <c r="C33" s="2" t="s">
        <v>78</v>
      </c>
      <c r="D33" s="2" t="s">
        <v>79</v>
      </c>
      <c r="E33" s="2" t="s">
        <v>80</v>
      </c>
      <c r="F33" s="2" t="s">
        <v>62</v>
      </c>
      <c r="G33" s="2" t="s">
        <v>81</v>
      </c>
      <c r="H33" s="2" t="s">
        <v>75</v>
      </c>
      <c r="I33" s="12" t="n">
        <v>1</v>
      </c>
      <c r="J33" s="12" t="n">
        <f aca="false">IF(COUNTIFS($D$2:$D33,$D33,$A$2:$A33,$A33)=1,1,0)</f>
        <v>1</v>
      </c>
    </row>
    <row r="34" customFormat="false" ht="15" hidden="false" customHeight="false" outlineLevel="0" collapsed="false">
      <c r="A34" s="11" t="n">
        <v>46180</v>
      </c>
      <c r="B34" s="2" t="s">
        <v>64</v>
      </c>
      <c r="C34" s="2" t="s">
        <v>128</v>
      </c>
      <c r="D34" s="2" t="s">
        <v>129</v>
      </c>
      <c r="E34" s="2" t="s">
        <v>130</v>
      </c>
      <c r="F34" s="2" t="s">
        <v>109</v>
      </c>
      <c r="G34" s="2" t="s">
        <v>131</v>
      </c>
      <c r="H34" s="2" t="s">
        <v>75</v>
      </c>
      <c r="I34" s="12" t="n">
        <v>1</v>
      </c>
      <c r="J34" s="12" t="n">
        <f aca="false">IF(COUNTIFS($D$2:$D34,$D34,$A$2:$A34,$A34)=1,1,0)</f>
        <v>1</v>
      </c>
    </row>
    <row r="35" customFormat="false" ht="15" hidden="false" customHeight="false" outlineLevel="0" collapsed="false">
      <c r="A35" s="11" t="n">
        <v>46182</v>
      </c>
      <c r="B35" s="2" t="s">
        <v>98</v>
      </c>
      <c r="C35" s="2" t="s">
        <v>132</v>
      </c>
      <c r="D35" s="2" t="s">
        <v>133</v>
      </c>
      <c r="E35" s="2" t="s">
        <v>134</v>
      </c>
      <c r="F35" s="2" t="s">
        <v>135</v>
      </c>
      <c r="G35" s="2" t="s">
        <v>133</v>
      </c>
      <c r="H35" s="2" t="s">
        <v>63</v>
      </c>
      <c r="I35" s="12" t="n">
        <v>1</v>
      </c>
      <c r="J35" s="12" t="n">
        <f aca="false">IF(COUNTIFS($D$2:$D35,$D35,$A$2:$A35,$A35)=1,1,0)</f>
        <v>1</v>
      </c>
    </row>
    <row r="36" customFormat="false" ht="15" hidden="false" customHeight="false" outlineLevel="0" collapsed="false">
      <c r="A36" s="11" t="n">
        <v>46183</v>
      </c>
      <c r="B36" s="2" t="s">
        <v>98</v>
      </c>
      <c r="C36" s="2" t="s">
        <v>136</v>
      </c>
      <c r="D36" s="2" t="s">
        <v>137</v>
      </c>
      <c r="E36" s="2" t="s">
        <v>138</v>
      </c>
      <c r="F36" s="2" t="s">
        <v>62</v>
      </c>
      <c r="G36" s="2" t="s">
        <v>137</v>
      </c>
      <c r="H36" s="2" t="s">
        <v>63</v>
      </c>
      <c r="I36" s="12" t="n">
        <v>1</v>
      </c>
      <c r="J36" s="12" t="n">
        <f aca="false">IF(COUNTIFS($D$2:$D36,$D36,$A$2:$A36,$A36)=1,1,0)</f>
        <v>1</v>
      </c>
    </row>
    <row r="37" customFormat="false" ht="15" hidden="false" customHeight="false" outlineLevel="0" collapsed="false">
      <c r="A37" s="11" t="n">
        <v>46184</v>
      </c>
      <c r="B37" s="2" t="s">
        <v>64</v>
      </c>
      <c r="C37" s="2" t="s">
        <v>128</v>
      </c>
      <c r="D37" s="2" t="s">
        <v>129</v>
      </c>
      <c r="E37" s="2" t="s">
        <v>130</v>
      </c>
      <c r="F37" s="2" t="s">
        <v>109</v>
      </c>
      <c r="G37" s="2" t="s">
        <v>131</v>
      </c>
      <c r="H37" s="2" t="s">
        <v>75</v>
      </c>
      <c r="I37" s="12" t="n">
        <v>2</v>
      </c>
      <c r="J37" s="12" t="n">
        <f aca="false">IF(COUNTIFS($D$2:$D37,$D37,$A$2:$A37,$A37)=1,1,0)</f>
        <v>1</v>
      </c>
    </row>
    <row r="38" customFormat="false" ht="15" hidden="false" customHeight="false" outlineLevel="0" collapsed="false">
      <c r="A38" s="11" t="n">
        <v>46185</v>
      </c>
      <c r="B38" s="2" t="s">
        <v>64</v>
      </c>
      <c r="C38" s="2" t="s">
        <v>128</v>
      </c>
      <c r="D38" s="2" t="s">
        <v>129</v>
      </c>
      <c r="E38" s="2" t="s">
        <v>130</v>
      </c>
      <c r="F38" s="2" t="s">
        <v>109</v>
      </c>
      <c r="G38" s="2" t="s">
        <v>131</v>
      </c>
      <c r="H38" s="2" t="s">
        <v>75</v>
      </c>
      <c r="I38" s="12" t="n">
        <v>1</v>
      </c>
      <c r="J38" s="12" t="n">
        <f aca="false">IF(COUNTIFS($D$2:$D38,$D38,$A$2:$A38,$A38)=1,1,0)</f>
        <v>1</v>
      </c>
    </row>
    <row r="39" customFormat="false" ht="15" hidden="false" customHeight="false" outlineLevel="0" collapsed="false">
      <c r="A39" s="11" t="n">
        <v>46185</v>
      </c>
      <c r="B39" s="2" t="s">
        <v>98</v>
      </c>
      <c r="C39" s="2" t="s">
        <v>136</v>
      </c>
      <c r="D39" s="2" t="s">
        <v>137</v>
      </c>
      <c r="E39" s="2" t="s">
        <v>138</v>
      </c>
      <c r="F39" s="2" t="s">
        <v>62</v>
      </c>
      <c r="G39" s="2" t="s">
        <v>137</v>
      </c>
      <c r="H39" s="2" t="s">
        <v>63</v>
      </c>
      <c r="I39" s="12" t="n">
        <v>1</v>
      </c>
      <c r="J39" s="12" t="n">
        <f aca="false">IF(COUNTIFS($D$2:$D39,$D39,$A$2:$A39,$A39)=1,1,0)</f>
        <v>1</v>
      </c>
    </row>
    <row r="40" customFormat="false" ht="15" hidden="false" customHeight="false" outlineLevel="0" collapsed="false">
      <c r="A40" s="11" t="n">
        <v>46186</v>
      </c>
      <c r="B40" s="2" t="s">
        <v>64</v>
      </c>
      <c r="C40" s="2" t="s">
        <v>59</v>
      </c>
      <c r="D40" s="2" t="s">
        <v>60</v>
      </c>
      <c r="E40" s="2" t="s">
        <v>61</v>
      </c>
      <c r="F40" s="2" t="s">
        <v>62</v>
      </c>
      <c r="G40" s="2" t="s">
        <v>77</v>
      </c>
      <c r="H40" s="2" t="s">
        <v>75</v>
      </c>
      <c r="I40" s="12" t="n">
        <v>1</v>
      </c>
      <c r="J40" s="12" t="n">
        <f aca="false">IF(COUNTIFS($D$2:$D40,$D40,$A$2:$A40,$A40)=1,1,0)</f>
        <v>1</v>
      </c>
    </row>
    <row r="41" customFormat="false" ht="15" hidden="false" customHeight="false" outlineLevel="0" collapsed="false">
      <c r="A41" s="11" t="n">
        <v>46186</v>
      </c>
      <c r="B41" s="2" t="s">
        <v>98</v>
      </c>
      <c r="C41" s="2" t="s">
        <v>136</v>
      </c>
      <c r="D41" s="2" t="s">
        <v>137</v>
      </c>
      <c r="E41" s="2" t="s">
        <v>138</v>
      </c>
      <c r="F41" s="2" t="s">
        <v>62</v>
      </c>
      <c r="G41" s="2" t="s">
        <v>137</v>
      </c>
      <c r="H41" s="2" t="s">
        <v>63</v>
      </c>
      <c r="I41" s="12" t="n">
        <v>1</v>
      </c>
      <c r="J41" s="12" t="n">
        <f aca="false">IF(COUNTIFS($D$2:$D41,$D41,$A$2:$A41,$A41)=1,1,0)</f>
        <v>1</v>
      </c>
    </row>
    <row r="42" customFormat="false" ht="15" hidden="false" customHeight="false" outlineLevel="0" collapsed="false">
      <c r="A42" s="11" t="n">
        <v>46188</v>
      </c>
      <c r="B42" s="2" t="s">
        <v>64</v>
      </c>
      <c r="C42" s="2" t="s">
        <v>65</v>
      </c>
      <c r="D42" s="2" t="s">
        <v>66</v>
      </c>
      <c r="E42" s="2" t="s">
        <v>67</v>
      </c>
      <c r="F42" s="2" t="s">
        <v>62</v>
      </c>
      <c r="G42" s="2" t="s">
        <v>110</v>
      </c>
      <c r="H42" s="2" t="s">
        <v>75</v>
      </c>
      <c r="I42" s="12" t="n">
        <v>1</v>
      </c>
      <c r="J42" s="12" t="n">
        <f aca="false">IF(COUNTIFS($D$2:$D42,$D42,$A$2:$A42,$A42)=1,1,0)</f>
        <v>1</v>
      </c>
    </row>
    <row r="43" customFormat="false" ht="15" hidden="false" customHeight="false" outlineLevel="0" collapsed="false">
      <c r="A43" s="11" t="n">
        <v>46188</v>
      </c>
      <c r="B43" s="2" t="s">
        <v>58</v>
      </c>
      <c r="C43" s="2" t="s">
        <v>65</v>
      </c>
      <c r="D43" s="2" t="s">
        <v>66</v>
      </c>
      <c r="E43" s="2" t="s">
        <v>67</v>
      </c>
      <c r="F43" s="2" t="s">
        <v>62</v>
      </c>
      <c r="G43" s="2" t="s">
        <v>139</v>
      </c>
      <c r="H43" s="2" t="s">
        <v>75</v>
      </c>
      <c r="I43" s="12" t="n">
        <v>1</v>
      </c>
      <c r="J43" s="12" t="n">
        <f aca="false">IF(COUNTIFS($D$2:$D43,$D43,$A$2:$A43,$A43)=1,1,0)</f>
        <v>0</v>
      </c>
    </row>
    <row r="44" customFormat="false" ht="15" hidden="false" customHeight="false" outlineLevel="0" collapsed="false">
      <c r="A44" s="11" t="n">
        <v>46188</v>
      </c>
      <c r="B44" s="2" t="s">
        <v>58</v>
      </c>
      <c r="C44" s="2" t="s">
        <v>65</v>
      </c>
      <c r="D44" s="2" t="s">
        <v>66</v>
      </c>
      <c r="E44" s="2" t="s">
        <v>67</v>
      </c>
      <c r="F44" s="2" t="s">
        <v>62</v>
      </c>
      <c r="G44" s="2" t="s">
        <v>66</v>
      </c>
      <c r="H44" s="2" t="s">
        <v>63</v>
      </c>
      <c r="I44" s="12" t="n">
        <v>1</v>
      </c>
      <c r="J44" s="12" t="n">
        <f aca="false">IF(COUNTIFS($D$2:$D44,$D44,$A$2:$A44,$A44)=1,1,0)</f>
        <v>0</v>
      </c>
    </row>
    <row r="45" customFormat="false" ht="15" hidden="false" customHeight="false" outlineLevel="0" collapsed="false">
      <c r="A45" s="11" t="n">
        <v>46188</v>
      </c>
      <c r="B45" s="2" t="s">
        <v>64</v>
      </c>
      <c r="C45" s="2" t="s">
        <v>120</v>
      </c>
      <c r="D45" s="2" t="s">
        <v>121</v>
      </c>
      <c r="E45" s="2" t="s">
        <v>122</v>
      </c>
      <c r="F45" s="2" t="s">
        <v>62</v>
      </c>
      <c r="G45" s="2" t="s">
        <v>123</v>
      </c>
      <c r="H45" s="2" t="s">
        <v>75</v>
      </c>
      <c r="I45" s="12" t="n">
        <v>1</v>
      </c>
      <c r="J45" s="12" t="n">
        <f aca="false">IF(COUNTIFS($D$2:$D45,$D45,$A$2:$A45,$A45)=1,1,0)</f>
        <v>1</v>
      </c>
    </row>
    <row r="46" customFormat="false" ht="15" hidden="false" customHeight="false" outlineLevel="0" collapsed="false">
      <c r="A46" s="11" t="n">
        <v>46188</v>
      </c>
      <c r="B46" s="2" t="s">
        <v>98</v>
      </c>
      <c r="C46" s="2" t="s">
        <v>136</v>
      </c>
      <c r="D46" s="2" t="s">
        <v>137</v>
      </c>
      <c r="E46" s="2" t="s">
        <v>138</v>
      </c>
      <c r="F46" s="2" t="s">
        <v>62</v>
      </c>
      <c r="G46" s="2" t="s">
        <v>137</v>
      </c>
      <c r="H46" s="2" t="s">
        <v>63</v>
      </c>
      <c r="I46" s="12" t="n">
        <v>1</v>
      </c>
      <c r="J46" s="12" t="n">
        <f aca="false">IF(COUNTIFS($D$2:$D46,$D46,$A$2:$A46,$A46)=1,1,0)</f>
        <v>1</v>
      </c>
    </row>
    <row r="47" customFormat="false" ht="15" hidden="false" customHeight="false" outlineLevel="0" collapsed="false">
      <c r="A47" s="11" t="n">
        <v>46189</v>
      </c>
      <c r="B47" s="2" t="s">
        <v>58</v>
      </c>
      <c r="C47" s="2" t="s">
        <v>136</v>
      </c>
      <c r="D47" s="2" t="s">
        <v>137</v>
      </c>
      <c r="E47" s="2" t="s">
        <v>138</v>
      </c>
      <c r="F47" s="2" t="s">
        <v>62</v>
      </c>
      <c r="G47" s="2" t="s">
        <v>137</v>
      </c>
      <c r="H47" s="2" t="s">
        <v>63</v>
      </c>
      <c r="I47" s="12" t="n">
        <v>1</v>
      </c>
      <c r="J47" s="12" t="n">
        <f aca="false">IF(COUNTIFS($D$2:$D47,$D47,$A$2:$A47,$A47)=1,1,0)</f>
        <v>1</v>
      </c>
    </row>
    <row r="48" customFormat="false" ht="15" hidden="false" customHeight="false" outlineLevel="0" collapsed="false">
      <c r="A48" s="11" t="n">
        <v>46194</v>
      </c>
      <c r="B48" s="2" t="s">
        <v>64</v>
      </c>
      <c r="C48" s="2" t="s">
        <v>116</v>
      </c>
      <c r="D48" s="2" t="s">
        <v>117</v>
      </c>
      <c r="E48" s="2" t="s">
        <v>118</v>
      </c>
      <c r="F48" s="2" t="s">
        <v>94</v>
      </c>
      <c r="G48" s="2" t="s">
        <v>119</v>
      </c>
      <c r="H48" s="2" t="s">
        <v>75</v>
      </c>
      <c r="I48" s="12" t="n">
        <v>1</v>
      </c>
      <c r="J48" s="12" t="n">
        <f aca="false">IF(COUNTIFS($D$2:$D48,$D48,$A$2:$A48,$A48)=1,1,0)</f>
        <v>1</v>
      </c>
    </row>
    <row r="49" customFormat="false" ht="15" hidden="false" customHeight="false" outlineLevel="0" collapsed="false">
      <c r="A49" s="11" t="n">
        <v>46195</v>
      </c>
      <c r="B49" s="2" t="s">
        <v>64</v>
      </c>
      <c r="C49" s="2" t="s">
        <v>78</v>
      </c>
      <c r="D49" s="2" t="s">
        <v>79</v>
      </c>
      <c r="E49" s="2" t="s">
        <v>80</v>
      </c>
      <c r="F49" s="2" t="s">
        <v>62</v>
      </c>
      <c r="G49" s="2" t="s">
        <v>79</v>
      </c>
      <c r="H49" s="2" t="s">
        <v>63</v>
      </c>
      <c r="I49" s="12" t="n">
        <v>1</v>
      </c>
      <c r="J49" s="12" t="n">
        <f aca="false">IF(COUNTIFS($D$2:$D49,$D49,$A$2:$A49,$A49)=1,1,0)</f>
        <v>1</v>
      </c>
    </row>
    <row r="50" customFormat="false" ht="15" hidden="false" customHeight="false" outlineLevel="0" collapsed="false">
      <c r="A50" s="11" t="n">
        <v>46195</v>
      </c>
      <c r="B50" s="2" t="s">
        <v>58</v>
      </c>
      <c r="C50" s="2" t="s">
        <v>68</v>
      </c>
      <c r="D50" s="2" t="s">
        <v>69</v>
      </c>
      <c r="E50" s="2" t="s">
        <v>70</v>
      </c>
      <c r="F50" s="2" t="s">
        <v>62</v>
      </c>
      <c r="G50" s="2" t="s">
        <v>69</v>
      </c>
      <c r="H50" s="2" t="s">
        <v>63</v>
      </c>
      <c r="I50" s="12" t="n">
        <v>1</v>
      </c>
      <c r="J50" s="12" t="n">
        <f aca="false">IF(COUNTIFS($D$2:$D50,$D50,$A$2:$A50,$A50)=1,1,0)</f>
        <v>1</v>
      </c>
    </row>
    <row r="51" customFormat="false" ht="15" hidden="false" customHeight="false" outlineLevel="0" collapsed="false">
      <c r="A51" s="11" t="n">
        <v>46195</v>
      </c>
      <c r="B51" s="2" t="s">
        <v>64</v>
      </c>
      <c r="C51" s="2" t="s">
        <v>91</v>
      </c>
      <c r="D51" s="2" t="s">
        <v>92</v>
      </c>
      <c r="E51" s="2" t="s">
        <v>93</v>
      </c>
      <c r="F51" s="2" t="s">
        <v>94</v>
      </c>
      <c r="G51" s="2" t="s">
        <v>140</v>
      </c>
      <c r="H51" s="2" t="s">
        <v>75</v>
      </c>
      <c r="I51" s="12" t="n">
        <v>1</v>
      </c>
      <c r="J51" s="12" t="n">
        <f aca="false">IF(COUNTIFS($D$2:$D51,$D51,$A$2:$A51,$A51)=1,1,0)</f>
        <v>1</v>
      </c>
    </row>
    <row r="52" customFormat="false" ht="15" hidden="false" customHeight="false" outlineLevel="0" collapsed="false">
      <c r="A52" s="11" t="n">
        <v>46196</v>
      </c>
      <c r="B52" s="2" t="s">
        <v>64</v>
      </c>
      <c r="C52" s="2" t="s">
        <v>141</v>
      </c>
      <c r="D52" s="2" t="s">
        <v>142</v>
      </c>
      <c r="E52" s="2" t="s">
        <v>143</v>
      </c>
      <c r="F52" s="2" t="s">
        <v>62</v>
      </c>
      <c r="G52" s="2" t="s">
        <v>144</v>
      </c>
      <c r="H52" s="2" t="s">
        <v>75</v>
      </c>
      <c r="I52" s="12" t="n">
        <v>1</v>
      </c>
      <c r="J52" s="12" t="n">
        <f aca="false">IF(COUNTIFS($D$2:$D52,$D52,$A$2:$A52,$A52)=1,1,0)</f>
        <v>1</v>
      </c>
    </row>
    <row r="53" customFormat="false" ht="15" hidden="false" customHeight="false" outlineLevel="0" collapsed="false">
      <c r="A53" s="11" t="n">
        <v>46197</v>
      </c>
      <c r="B53" s="2" t="s">
        <v>98</v>
      </c>
      <c r="C53" s="2" t="s">
        <v>145</v>
      </c>
      <c r="D53" s="2" t="s">
        <v>146</v>
      </c>
      <c r="E53" s="2" t="s">
        <v>134</v>
      </c>
      <c r="F53" s="2" t="s">
        <v>147</v>
      </c>
      <c r="G53" s="2" t="s">
        <v>146</v>
      </c>
      <c r="H53" s="2" t="s">
        <v>63</v>
      </c>
      <c r="I53" s="12" t="n">
        <v>1</v>
      </c>
      <c r="J53" s="12" t="n">
        <f aca="false">IF(COUNTIFS($D$2:$D53,$D53,$A$2:$A53,$A53)=1,1,0)</f>
        <v>1</v>
      </c>
    </row>
    <row r="54" customFormat="false" ht="15" hidden="false" customHeight="false" outlineLevel="0" collapsed="false">
      <c r="A54" s="11" t="n">
        <v>46197</v>
      </c>
      <c r="B54" s="2" t="s">
        <v>64</v>
      </c>
      <c r="C54" s="2" t="s">
        <v>148</v>
      </c>
      <c r="D54" s="2" t="s">
        <v>149</v>
      </c>
      <c r="E54" s="2" t="s">
        <v>150</v>
      </c>
      <c r="F54" s="2" t="s">
        <v>109</v>
      </c>
      <c r="G54" s="2" t="s">
        <v>151</v>
      </c>
      <c r="H54" s="2" t="s">
        <v>75</v>
      </c>
      <c r="I54" s="12" t="n">
        <v>1</v>
      </c>
      <c r="J54" s="12" t="n">
        <f aca="false">IF(COUNTIFS($D$2:$D54,$D54,$A$2:$A54,$A54)=1,1,0)</f>
        <v>1</v>
      </c>
    </row>
    <row r="55" customFormat="false" ht="15" hidden="false" customHeight="false" outlineLevel="0" collapsed="false">
      <c r="A55" s="11" t="n">
        <v>46197</v>
      </c>
      <c r="B55" s="2" t="s">
        <v>64</v>
      </c>
      <c r="C55" s="2" t="s">
        <v>78</v>
      </c>
      <c r="D55" s="2" t="s">
        <v>79</v>
      </c>
      <c r="E55" s="2" t="s">
        <v>80</v>
      </c>
      <c r="F55" s="2" t="s">
        <v>62</v>
      </c>
      <c r="G55" s="2" t="s">
        <v>81</v>
      </c>
      <c r="H55" s="2" t="s">
        <v>75</v>
      </c>
      <c r="I55" s="12" t="n">
        <v>1</v>
      </c>
      <c r="J55" s="12" t="n">
        <f aca="false">IF(COUNTIFS($D$2:$D55,$D55,$A$2:$A55,$A55)=1,1,0)</f>
        <v>1</v>
      </c>
    </row>
    <row r="56" customFormat="false" ht="15" hidden="false" customHeight="false" outlineLevel="0" collapsed="false">
      <c r="A56" s="11" t="n">
        <v>46199</v>
      </c>
      <c r="B56" s="2" t="s">
        <v>98</v>
      </c>
      <c r="C56" s="2" t="s">
        <v>145</v>
      </c>
      <c r="D56" s="2" t="s">
        <v>146</v>
      </c>
      <c r="E56" s="2" t="s">
        <v>134</v>
      </c>
      <c r="F56" s="2" t="s">
        <v>147</v>
      </c>
      <c r="G56" s="2" t="s">
        <v>146</v>
      </c>
      <c r="H56" s="2" t="s">
        <v>63</v>
      </c>
      <c r="I56" s="12" t="n">
        <v>2</v>
      </c>
      <c r="J56" s="12" t="n">
        <f aca="false">IF(COUNTIFS($D$2:$D56,$D56,$A$2:$A56,$A56)=1,1,0)</f>
        <v>1</v>
      </c>
    </row>
    <row r="57" customFormat="false" ht="15" hidden="false" customHeight="false" outlineLevel="0" collapsed="false">
      <c r="A57" s="11" t="n">
        <v>46199</v>
      </c>
      <c r="B57" s="2" t="s">
        <v>98</v>
      </c>
      <c r="C57" s="2" t="s">
        <v>99</v>
      </c>
      <c r="D57" s="2" t="s">
        <v>100</v>
      </c>
      <c r="E57" s="2" t="s">
        <v>101</v>
      </c>
      <c r="F57" s="2" t="s">
        <v>94</v>
      </c>
      <c r="G57" s="2" t="s">
        <v>100</v>
      </c>
      <c r="H57" s="2" t="s">
        <v>63</v>
      </c>
      <c r="I57" s="12" t="n">
        <v>1</v>
      </c>
      <c r="J57" s="12" t="n">
        <f aca="false">IF(COUNTIFS($D$2:$D57,$D57,$A$2:$A57,$A57)=1,1,0)</f>
        <v>1</v>
      </c>
    </row>
    <row r="58" customFormat="false" ht="15" hidden="false" customHeight="false" outlineLevel="0" collapsed="false">
      <c r="A58" s="11" t="n">
        <v>46200</v>
      </c>
      <c r="B58" s="2" t="s">
        <v>58</v>
      </c>
      <c r="C58" s="2" t="s">
        <v>59</v>
      </c>
      <c r="D58" s="2" t="s">
        <v>60</v>
      </c>
      <c r="E58" s="2" t="s">
        <v>61</v>
      </c>
      <c r="F58" s="2" t="s">
        <v>62</v>
      </c>
      <c r="G58" s="2" t="s">
        <v>60</v>
      </c>
      <c r="H58" s="2" t="s">
        <v>63</v>
      </c>
      <c r="I58" s="12" t="n">
        <v>1</v>
      </c>
      <c r="J58" s="12" t="n">
        <f aca="false">IF(COUNTIFS($D$2:$D58,$D58,$A$2:$A58,$A58)=1,1,0)</f>
        <v>1</v>
      </c>
    </row>
    <row r="59" customFormat="false" ht="15" hidden="false" customHeight="false" outlineLevel="0" collapsed="false">
      <c r="A59" s="11" t="n">
        <v>46204</v>
      </c>
      <c r="B59" s="2" t="s">
        <v>58</v>
      </c>
      <c r="C59" s="2" t="s">
        <v>152</v>
      </c>
      <c r="D59" s="2" t="s">
        <v>153</v>
      </c>
      <c r="E59" s="2" t="s">
        <v>154</v>
      </c>
      <c r="F59" s="2" t="s">
        <v>62</v>
      </c>
      <c r="G59" s="2" t="s">
        <v>153</v>
      </c>
      <c r="H59" s="2" t="s">
        <v>63</v>
      </c>
      <c r="I59" s="12" t="n">
        <v>1</v>
      </c>
      <c r="J59" s="12" t="n">
        <f aca="false">IF(COUNTIFS($D$2:$D59,$D59,$A$2:$A59,$A59)=1,1,0)</f>
        <v>1</v>
      </c>
    </row>
    <row r="60" customFormat="false" ht="15" hidden="false" customHeight="false" outlineLevel="0" collapsed="false">
      <c r="A60" s="11" t="n">
        <v>46205</v>
      </c>
      <c r="B60" s="2" t="s">
        <v>64</v>
      </c>
      <c r="C60" s="2" t="s">
        <v>78</v>
      </c>
      <c r="D60" s="2" t="s">
        <v>79</v>
      </c>
      <c r="E60" s="2" t="s">
        <v>80</v>
      </c>
      <c r="F60" s="2" t="s">
        <v>62</v>
      </c>
      <c r="G60" s="2" t="s">
        <v>81</v>
      </c>
      <c r="H60" s="2" t="s">
        <v>75</v>
      </c>
      <c r="I60" s="12" t="n">
        <v>2</v>
      </c>
      <c r="J60" s="12" t="n">
        <f aca="false">IF(COUNTIFS($D$2:$D60,$D60,$A$2:$A60,$A60)=1,1,0)</f>
        <v>1</v>
      </c>
    </row>
    <row r="61" customFormat="false" ht="15" hidden="false" customHeight="false" outlineLevel="0" collapsed="false">
      <c r="A61" s="11" t="n">
        <v>46206</v>
      </c>
      <c r="B61" s="2" t="s">
        <v>64</v>
      </c>
      <c r="C61" s="2" t="s">
        <v>128</v>
      </c>
      <c r="D61" s="2" t="s">
        <v>129</v>
      </c>
      <c r="E61" s="2" t="s">
        <v>130</v>
      </c>
      <c r="F61" s="2" t="s">
        <v>109</v>
      </c>
      <c r="G61" s="2" t="s">
        <v>131</v>
      </c>
      <c r="H61" s="2" t="s">
        <v>75</v>
      </c>
      <c r="I61" s="12" t="n">
        <v>1</v>
      </c>
      <c r="J61" s="12" t="n">
        <f aca="false">IF(COUNTIFS($D$2:$D61,$D61,$A$2:$A61,$A61)=1,1,0)</f>
        <v>1</v>
      </c>
    </row>
    <row r="62" customFormat="false" ht="15" hidden="false" customHeight="false" outlineLevel="0" collapsed="false">
      <c r="A62" s="11" t="n">
        <v>46206</v>
      </c>
      <c r="B62" s="2" t="s">
        <v>64</v>
      </c>
      <c r="C62" s="2" t="s">
        <v>112</v>
      </c>
      <c r="D62" s="2" t="s">
        <v>113</v>
      </c>
      <c r="E62" s="2" t="s">
        <v>114</v>
      </c>
      <c r="F62" s="2" t="s">
        <v>62</v>
      </c>
      <c r="G62" s="2" t="s">
        <v>115</v>
      </c>
      <c r="H62" s="2" t="s">
        <v>75</v>
      </c>
      <c r="I62" s="12" t="n">
        <v>1</v>
      </c>
      <c r="J62" s="12" t="n">
        <f aca="false">IF(COUNTIFS($D$2:$D62,$D62,$A$2:$A62,$A62)=1,1,0)</f>
        <v>1</v>
      </c>
    </row>
    <row r="63" customFormat="false" ht="15" hidden="false" customHeight="false" outlineLevel="0" collapsed="false">
      <c r="A63" s="11" t="n">
        <v>46206</v>
      </c>
      <c r="B63" s="2" t="s">
        <v>64</v>
      </c>
      <c r="C63" s="2" t="s">
        <v>155</v>
      </c>
      <c r="D63" s="2" t="s">
        <v>156</v>
      </c>
      <c r="E63" s="2" t="s">
        <v>157</v>
      </c>
      <c r="F63" s="2" t="s">
        <v>62</v>
      </c>
      <c r="G63" s="2" t="s">
        <v>158</v>
      </c>
      <c r="H63" s="2" t="s">
        <v>75</v>
      </c>
      <c r="I63" s="12" t="n">
        <v>1</v>
      </c>
      <c r="J63" s="12" t="n">
        <f aca="false">IF(COUNTIFS($D$2:$D63,$D63,$A$2:$A63,$A63)=1,1,0)</f>
        <v>1</v>
      </c>
    </row>
    <row r="64" customFormat="false" ht="15" hidden="false" customHeight="false" outlineLevel="0" collapsed="false">
      <c r="A64" s="11" t="n">
        <v>46206</v>
      </c>
      <c r="B64" s="2" t="s">
        <v>64</v>
      </c>
      <c r="C64" s="2" t="s">
        <v>82</v>
      </c>
      <c r="D64" s="2" t="s">
        <v>83</v>
      </c>
      <c r="E64" s="2" t="s">
        <v>84</v>
      </c>
      <c r="F64" s="2" t="s">
        <v>62</v>
      </c>
      <c r="G64" s="2" t="s">
        <v>85</v>
      </c>
      <c r="H64" s="2" t="s">
        <v>75</v>
      </c>
      <c r="I64" s="12" t="n">
        <v>1</v>
      </c>
      <c r="J64" s="12" t="n">
        <f aca="false">IF(COUNTIFS($D$2:$D64,$D64,$A$2:$A64,$A64)=1,1,0)</f>
        <v>1</v>
      </c>
    </row>
    <row r="65" customFormat="false" ht="15" hidden="false" customHeight="false" outlineLevel="0" collapsed="false">
      <c r="A65" s="11" t="n">
        <v>46207</v>
      </c>
      <c r="B65" s="2" t="s">
        <v>64</v>
      </c>
      <c r="C65" s="2" t="s">
        <v>112</v>
      </c>
      <c r="D65" s="2" t="s">
        <v>113</v>
      </c>
      <c r="E65" s="2" t="s">
        <v>114</v>
      </c>
      <c r="F65" s="2" t="s">
        <v>62</v>
      </c>
      <c r="G65" s="2" t="s">
        <v>113</v>
      </c>
      <c r="H65" s="2" t="s">
        <v>63</v>
      </c>
      <c r="I65" s="12" t="n">
        <v>1</v>
      </c>
      <c r="J65" s="12" t="n">
        <f aca="false">IF(COUNTIFS($D$2:$D65,$D65,$A$2:$A65,$A65)=1,1,0)</f>
        <v>1</v>
      </c>
    </row>
    <row r="66" customFormat="false" ht="15" hidden="false" customHeight="false" outlineLevel="0" collapsed="false">
      <c r="A66" s="11" t="n">
        <v>46208</v>
      </c>
      <c r="B66" s="2" t="s">
        <v>64</v>
      </c>
      <c r="C66" s="2" t="s">
        <v>159</v>
      </c>
      <c r="D66" s="2" t="s">
        <v>160</v>
      </c>
      <c r="E66" s="2" t="s">
        <v>161</v>
      </c>
      <c r="F66" s="2" t="s">
        <v>62</v>
      </c>
      <c r="G66" s="2" t="s">
        <v>162</v>
      </c>
      <c r="H66" s="2" t="s">
        <v>75</v>
      </c>
      <c r="I66" s="12" t="n">
        <v>1</v>
      </c>
      <c r="J66" s="12" t="n">
        <f aca="false">IF(COUNTIFS($D$2:$D66,$D66,$A$2:$A66,$A66)=1,1,0)</f>
        <v>1</v>
      </c>
    </row>
    <row r="67" customFormat="false" ht="15" hidden="false" customHeight="false" outlineLevel="0" collapsed="false">
      <c r="A67" s="11" t="n">
        <v>46209</v>
      </c>
      <c r="B67" s="2" t="s">
        <v>98</v>
      </c>
      <c r="C67" s="2" t="s">
        <v>145</v>
      </c>
      <c r="D67" s="2" t="s">
        <v>146</v>
      </c>
      <c r="E67" s="2" t="s">
        <v>134</v>
      </c>
      <c r="F67" s="2" t="s">
        <v>147</v>
      </c>
      <c r="G67" s="2" t="s">
        <v>146</v>
      </c>
      <c r="H67" s="2" t="s">
        <v>63</v>
      </c>
      <c r="I67" s="12" t="n">
        <v>1</v>
      </c>
      <c r="J67" s="12" t="n">
        <f aca="false">IF(COUNTIFS($D$2:$D67,$D67,$A$2:$A67,$A67)=1,1,0)</f>
        <v>1</v>
      </c>
    </row>
    <row r="68" customFormat="false" ht="15" hidden="false" customHeight="false" outlineLevel="0" collapsed="false">
      <c r="A68" s="11" t="n">
        <v>46209</v>
      </c>
      <c r="B68" s="2" t="s">
        <v>64</v>
      </c>
      <c r="C68" s="2" t="s">
        <v>112</v>
      </c>
      <c r="D68" s="2" t="s">
        <v>113</v>
      </c>
      <c r="E68" s="2" t="s">
        <v>114</v>
      </c>
      <c r="F68" s="2" t="s">
        <v>62</v>
      </c>
      <c r="G68" s="2" t="s">
        <v>113</v>
      </c>
      <c r="H68" s="2" t="s">
        <v>63</v>
      </c>
      <c r="I68" s="12" t="n">
        <v>1</v>
      </c>
      <c r="J68" s="12" t="n">
        <f aca="false">IF(COUNTIFS($D$2:$D68,$D68,$A$2:$A68,$A68)=1,1,0)</f>
        <v>1</v>
      </c>
    </row>
    <row r="69" customFormat="false" ht="15" hidden="false" customHeight="false" outlineLevel="0" collapsed="false">
      <c r="A69" s="11" t="n">
        <v>46209</v>
      </c>
      <c r="B69" s="2" t="s">
        <v>64</v>
      </c>
      <c r="C69" s="2" t="s">
        <v>163</v>
      </c>
      <c r="D69" s="2" t="s">
        <v>164</v>
      </c>
      <c r="E69" s="2" t="s">
        <v>165</v>
      </c>
      <c r="F69" s="2" t="s">
        <v>62</v>
      </c>
      <c r="G69" s="2" t="s">
        <v>166</v>
      </c>
      <c r="H69" s="2" t="s">
        <v>75</v>
      </c>
      <c r="I69" s="12" t="n">
        <v>1</v>
      </c>
      <c r="J69" s="12" t="n">
        <f aca="false">IF(COUNTIFS($D$2:$D69,$D69,$A$2:$A69,$A69)=1,1,0)</f>
        <v>1</v>
      </c>
    </row>
    <row r="70" customFormat="false" ht="15" hidden="false" customHeight="false" outlineLevel="0" collapsed="false">
      <c r="A70" s="11" t="n">
        <v>46210</v>
      </c>
      <c r="B70" s="2" t="s">
        <v>64</v>
      </c>
      <c r="C70" s="2" t="s">
        <v>99</v>
      </c>
      <c r="D70" s="2" t="s">
        <v>100</v>
      </c>
      <c r="E70" s="2" t="s">
        <v>101</v>
      </c>
      <c r="F70" s="2" t="s">
        <v>94</v>
      </c>
      <c r="G70" s="2" t="s">
        <v>100</v>
      </c>
      <c r="H70" s="2" t="s">
        <v>63</v>
      </c>
      <c r="I70" s="12" t="n">
        <v>1</v>
      </c>
      <c r="J70" s="12" t="n">
        <f aca="false">IF(COUNTIFS($D$2:$D70,$D70,$A$2:$A70,$A70)=1,1,0)</f>
        <v>1</v>
      </c>
    </row>
    <row r="71" customFormat="false" ht="15" hidden="false" customHeight="false" outlineLevel="0" collapsed="false">
      <c r="A71" s="11" t="n">
        <v>46210</v>
      </c>
      <c r="B71" s="2" t="s">
        <v>64</v>
      </c>
      <c r="C71" s="2" t="s">
        <v>167</v>
      </c>
      <c r="D71" s="2" t="s">
        <v>168</v>
      </c>
      <c r="E71" s="2" t="s">
        <v>169</v>
      </c>
      <c r="F71" s="2" t="s">
        <v>62</v>
      </c>
      <c r="G71" s="2" t="s">
        <v>170</v>
      </c>
      <c r="H71" s="2" t="s">
        <v>75</v>
      </c>
      <c r="I71" s="12" t="n">
        <v>1</v>
      </c>
      <c r="J71" s="12" t="n">
        <f aca="false">IF(COUNTIFS($D$2:$D71,$D71,$A$2:$A71,$A71)=1,1,0)</f>
        <v>1</v>
      </c>
    </row>
    <row r="72" customFormat="false" ht="15" hidden="false" customHeight="false" outlineLevel="0" collapsed="false">
      <c r="A72" s="11" t="n">
        <v>46211</v>
      </c>
      <c r="B72" s="2" t="s">
        <v>64</v>
      </c>
      <c r="C72" s="2" t="s">
        <v>167</v>
      </c>
      <c r="D72" s="2" t="s">
        <v>168</v>
      </c>
      <c r="E72" s="2" t="s">
        <v>169</v>
      </c>
      <c r="F72" s="2" t="s">
        <v>62</v>
      </c>
      <c r="G72" s="2" t="s">
        <v>170</v>
      </c>
      <c r="H72" s="2" t="s">
        <v>75</v>
      </c>
      <c r="I72" s="12" t="n">
        <v>1</v>
      </c>
      <c r="J72" s="12" t="n">
        <f aca="false">IF(COUNTIFS($D$2:$D72,$D72,$A$2:$A72,$A72)=1,1,0)</f>
        <v>1</v>
      </c>
    </row>
    <row r="73" customFormat="false" ht="15" hidden="false" customHeight="false" outlineLevel="0" collapsed="false">
      <c r="A73" s="11" t="n">
        <v>46213</v>
      </c>
      <c r="B73" s="2" t="s">
        <v>64</v>
      </c>
      <c r="C73" s="2" t="s">
        <v>120</v>
      </c>
      <c r="D73" s="2" t="s">
        <v>121</v>
      </c>
      <c r="E73" s="2" t="s">
        <v>122</v>
      </c>
      <c r="F73" s="2" t="s">
        <v>62</v>
      </c>
      <c r="G73" s="2" t="s">
        <v>121</v>
      </c>
      <c r="H73" s="2" t="s">
        <v>63</v>
      </c>
      <c r="I73" s="12" t="n">
        <v>1</v>
      </c>
      <c r="J73" s="12" t="n">
        <f aca="false">IF(COUNTIFS($D$2:$D73,$D73,$A$2:$A73,$A73)=1,1,0)</f>
        <v>1</v>
      </c>
    </row>
    <row r="74" customFormat="false" ht="15" hidden="false" customHeight="false" outlineLevel="0" collapsed="false">
      <c r="A74" s="11" t="n">
        <v>46215</v>
      </c>
      <c r="B74" s="2" t="s">
        <v>64</v>
      </c>
      <c r="C74" s="2" t="s">
        <v>78</v>
      </c>
      <c r="D74" s="2" t="s">
        <v>79</v>
      </c>
      <c r="E74" s="2" t="s">
        <v>80</v>
      </c>
      <c r="F74" s="2" t="s">
        <v>62</v>
      </c>
      <c r="G74" s="2" t="s">
        <v>81</v>
      </c>
      <c r="H74" s="2" t="s">
        <v>75</v>
      </c>
      <c r="I74" s="12" t="n">
        <v>1</v>
      </c>
      <c r="J74" s="12" t="n">
        <f aca="false">IF(COUNTIFS($D$2:$D74,$D74,$A$2:$A74,$A74)=1,1,0)</f>
        <v>1</v>
      </c>
    </row>
    <row r="75" customFormat="false" ht="15" hidden="false" customHeight="false" outlineLevel="0" collapsed="false">
      <c r="A75" s="11" t="n">
        <v>46216</v>
      </c>
      <c r="B75" s="2" t="s">
        <v>64</v>
      </c>
      <c r="C75" s="2" t="s">
        <v>128</v>
      </c>
      <c r="D75" s="2" t="s">
        <v>129</v>
      </c>
      <c r="E75" s="2" t="s">
        <v>130</v>
      </c>
      <c r="F75" s="2" t="s">
        <v>109</v>
      </c>
      <c r="G75" s="2" t="s">
        <v>131</v>
      </c>
      <c r="H75" s="2" t="s">
        <v>75</v>
      </c>
      <c r="I75" s="12" t="n">
        <v>1</v>
      </c>
      <c r="J75" s="12" t="n">
        <f aca="false">IF(COUNTIFS($D$2:$D75,$D75,$A$2:$A75,$A75)=1,1,0)</f>
        <v>1</v>
      </c>
    </row>
    <row r="76" customFormat="false" ht="15" hidden="false" customHeight="false" outlineLevel="0" collapsed="false">
      <c r="A76" s="11" t="n">
        <v>46216</v>
      </c>
      <c r="B76" s="2" t="s">
        <v>64</v>
      </c>
      <c r="C76" s="2" t="s">
        <v>78</v>
      </c>
      <c r="D76" s="2" t="s">
        <v>79</v>
      </c>
      <c r="E76" s="2" t="s">
        <v>80</v>
      </c>
      <c r="F76" s="2" t="s">
        <v>62</v>
      </c>
      <c r="G76" s="2" t="s">
        <v>79</v>
      </c>
      <c r="H76" s="2" t="s">
        <v>63</v>
      </c>
      <c r="I76" s="12" t="n">
        <v>1</v>
      </c>
      <c r="J76" s="12" t="n">
        <f aca="false">IF(COUNTIFS($D$2:$D76,$D76,$A$2:$A76,$A76)=1,1,0)</f>
        <v>1</v>
      </c>
    </row>
    <row r="77" customFormat="false" ht="15" hidden="false" customHeight="false" outlineLevel="0" collapsed="false">
      <c r="A77" s="11" t="n">
        <v>46217</v>
      </c>
      <c r="B77" s="2" t="s">
        <v>64</v>
      </c>
      <c r="C77" s="2" t="s">
        <v>71</v>
      </c>
      <c r="D77" s="2" t="s">
        <v>72</v>
      </c>
      <c r="E77" s="2" t="s">
        <v>73</v>
      </c>
      <c r="F77" s="2" t="s">
        <v>62</v>
      </c>
      <c r="G77" s="2" t="s">
        <v>72</v>
      </c>
      <c r="H77" s="2" t="s">
        <v>63</v>
      </c>
      <c r="I77" s="12" t="n">
        <v>1</v>
      </c>
      <c r="J77" s="12" t="n">
        <f aca="false">IF(COUNTIFS($D$2:$D77,$D77,$A$2:$A77,$A77)=1,1,0)</f>
        <v>1</v>
      </c>
    </row>
    <row r="78" customFormat="false" ht="15" hidden="false" customHeight="false" outlineLevel="0" collapsed="false">
      <c r="A78" s="11" t="n">
        <v>46218</v>
      </c>
      <c r="B78" s="2" t="s">
        <v>64</v>
      </c>
      <c r="C78" s="2" t="s">
        <v>65</v>
      </c>
      <c r="D78" s="2" t="s">
        <v>66</v>
      </c>
      <c r="E78" s="2" t="s">
        <v>67</v>
      </c>
      <c r="F78" s="2" t="s">
        <v>62</v>
      </c>
      <c r="G78" s="2" t="s">
        <v>110</v>
      </c>
      <c r="H78" s="2" t="s">
        <v>75</v>
      </c>
      <c r="I78" s="12" t="n">
        <v>1</v>
      </c>
      <c r="J78" s="12" t="n">
        <f aca="false">IF(COUNTIFS($D$2:$D78,$D78,$A$2:$A78,$A78)=1,1,0)</f>
        <v>1</v>
      </c>
    </row>
    <row r="79" customFormat="false" ht="15" hidden="false" customHeight="false" outlineLevel="0" collapsed="false">
      <c r="A79" s="11" t="n">
        <v>46218</v>
      </c>
      <c r="B79" s="2" t="s">
        <v>64</v>
      </c>
      <c r="C79" s="2" t="s">
        <v>112</v>
      </c>
      <c r="D79" s="2" t="s">
        <v>113</v>
      </c>
      <c r="E79" s="2" t="s">
        <v>114</v>
      </c>
      <c r="F79" s="2" t="s">
        <v>62</v>
      </c>
      <c r="G79" s="2" t="s">
        <v>115</v>
      </c>
      <c r="H79" s="2" t="s">
        <v>75</v>
      </c>
      <c r="I79" s="12" t="n">
        <v>1</v>
      </c>
      <c r="J79" s="12" t="n">
        <f aca="false">IF(COUNTIFS($D$2:$D79,$D79,$A$2:$A79,$A79)=1,1,0)</f>
        <v>1</v>
      </c>
    </row>
    <row r="80" customFormat="false" ht="15" hidden="false" customHeight="false" outlineLevel="0" collapsed="false">
      <c r="A80" s="11" t="n">
        <v>46219</v>
      </c>
      <c r="B80" s="2" t="s">
        <v>64</v>
      </c>
      <c r="C80" s="2" t="s">
        <v>171</v>
      </c>
      <c r="D80" s="2" t="s">
        <v>172</v>
      </c>
      <c r="E80" s="2" t="s">
        <v>173</v>
      </c>
      <c r="F80" s="2" t="s">
        <v>62</v>
      </c>
      <c r="G80" s="2" t="s">
        <v>172</v>
      </c>
      <c r="H80" s="2" t="s">
        <v>63</v>
      </c>
      <c r="I80" s="12" t="n">
        <v>1</v>
      </c>
      <c r="J80" s="12" t="n">
        <f aca="false">IF(COUNTIFS($D$2:$D80,$D80,$A$2:$A80,$A80)=1,1,0)</f>
        <v>1</v>
      </c>
    </row>
    <row r="81" customFormat="false" ht="15" hidden="false" customHeight="false" outlineLevel="0" collapsed="false">
      <c r="A81" s="11" t="n">
        <v>46220</v>
      </c>
      <c r="B81" s="2" t="s">
        <v>64</v>
      </c>
      <c r="C81" s="2" t="s">
        <v>167</v>
      </c>
      <c r="D81" s="2" t="s">
        <v>168</v>
      </c>
      <c r="E81" s="2" t="s">
        <v>169</v>
      </c>
      <c r="F81" s="2" t="s">
        <v>62</v>
      </c>
      <c r="G81" s="2" t="s">
        <v>170</v>
      </c>
      <c r="H81" s="2" t="s">
        <v>75</v>
      </c>
      <c r="I81" s="12" t="n">
        <v>1</v>
      </c>
      <c r="J81" s="12" t="n">
        <f aca="false">IF(COUNTIFS($D$2:$D81,$D81,$A$2:$A81,$A81)=1,1,0)</f>
        <v>1</v>
      </c>
    </row>
    <row r="82" customFormat="false" ht="15" hidden="false" customHeight="false" outlineLevel="0" collapsed="false">
      <c r="A82" s="11" t="n">
        <v>46220</v>
      </c>
      <c r="B82" s="2" t="s">
        <v>64</v>
      </c>
      <c r="C82" s="2" t="s">
        <v>112</v>
      </c>
      <c r="D82" s="2" t="s">
        <v>113</v>
      </c>
      <c r="E82" s="2" t="s">
        <v>114</v>
      </c>
      <c r="F82" s="2" t="s">
        <v>62</v>
      </c>
      <c r="G82" s="2" t="s">
        <v>115</v>
      </c>
      <c r="H82" s="2" t="s">
        <v>75</v>
      </c>
      <c r="I82" s="12" t="n">
        <v>1</v>
      </c>
      <c r="J82" s="12" t="n">
        <f aca="false">IF(COUNTIFS($D$2:$D82,$D82,$A$2:$A82,$A82)=1,1,0)</f>
        <v>1</v>
      </c>
    </row>
    <row r="83" customFormat="false" ht="15" hidden="false" customHeight="false" outlineLevel="0" collapsed="false">
      <c r="A83" s="11" t="n">
        <v>46221</v>
      </c>
      <c r="B83" s="2" t="s">
        <v>64</v>
      </c>
      <c r="C83" s="2" t="s">
        <v>145</v>
      </c>
      <c r="D83" s="2" t="s">
        <v>146</v>
      </c>
      <c r="E83" s="2" t="s">
        <v>134</v>
      </c>
      <c r="F83" s="2" t="s">
        <v>147</v>
      </c>
      <c r="G83" s="2" t="s">
        <v>146</v>
      </c>
      <c r="H83" s="2" t="s">
        <v>63</v>
      </c>
      <c r="I83" s="12" t="n">
        <v>1</v>
      </c>
      <c r="J83" s="12" t="n">
        <f aca="false">IF(COUNTIFS($D$2:$D83,$D83,$A$2:$A83,$A83)=1,1,0)</f>
        <v>1</v>
      </c>
    </row>
    <row r="84" customFormat="false" ht="15" hidden="false" customHeight="false" outlineLevel="0" collapsed="false">
      <c r="A84" s="11" t="n">
        <v>46221</v>
      </c>
      <c r="B84" s="2" t="s">
        <v>64</v>
      </c>
      <c r="C84" s="2" t="s">
        <v>174</v>
      </c>
      <c r="D84" s="2" t="s">
        <v>175</v>
      </c>
      <c r="E84" s="2" t="s">
        <v>176</v>
      </c>
      <c r="F84" s="2" t="s">
        <v>62</v>
      </c>
      <c r="G84" s="2" t="s">
        <v>177</v>
      </c>
      <c r="H84" s="2" t="s">
        <v>75</v>
      </c>
      <c r="I84" s="12" t="n">
        <v>1</v>
      </c>
      <c r="J84" s="12" t="n">
        <f aca="false">IF(COUNTIFS($D$2:$D84,$D84,$A$2:$A84,$A84)=1,1,0)</f>
        <v>1</v>
      </c>
    </row>
    <row r="85" customFormat="false" ht="15" hidden="false" customHeight="false" outlineLevel="0" collapsed="false">
      <c r="A85" s="11" t="n">
        <v>46221</v>
      </c>
      <c r="B85" s="2" t="s">
        <v>64</v>
      </c>
      <c r="C85" s="2" t="s">
        <v>91</v>
      </c>
      <c r="D85" s="2" t="s">
        <v>92</v>
      </c>
      <c r="E85" s="2" t="s">
        <v>93</v>
      </c>
      <c r="F85" s="2" t="s">
        <v>94</v>
      </c>
      <c r="G85" s="2" t="s">
        <v>140</v>
      </c>
      <c r="H85" s="2" t="s">
        <v>75</v>
      </c>
      <c r="I85" s="12" t="n">
        <v>1</v>
      </c>
      <c r="J85" s="12" t="n">
        <f aca="false">IF(COUNTIFS($D$2:$D85,$D85,$A$2:$A85,$A85)=1,1,0)</f>
        <v>1</v>
      </c>
    </row>
    <row r="86" customFormat="false" ht="15" hidden="false" customHeight="false" outlineLevel="0" collapsed="false">
      <c r="A86" s="11" t="n">
        <v>46223</v>
      </c>
      <c r="B86" s="2" t="s">
        <v>64</v>
      </c>
      <c r="C86" s="2" t="s">
        <v>68</v>
      </c>
      <c r="D86" s="2" t="s">
        <v>69</v>
      </c>
      <c r="E86" s="2" t="s">
        <v>70</v>
      </c>
      <c r="F86" s="2" t="s">
        <v>62</v>
      </c>
      <c r="G86" s="2" t="s">
        <v>178</v>
      </c>
      <c r="H86" s="2" t="s">
        <v>75</v>
      </c>
      <c r="I86" s="12" t="n">
        <v>1</v>
      </c>
      <c r="J86" s="12" t="n">
        <f aca="false">IF(COUNTIFS($D$2:$D86,$D86,$A$2:$A86,$A86)=1,1,0)</f>
        <v>1</v>
      </c>
    </row>
    <row r="87" customFormat="false" ht="15" hidden="false" customHeight="false" outlineLevel="0" collapsed="false">
      <c r="A87" s="11" t="n">
        <v>46224</v>
      </c>
      <c r="B87" s="2" t="s">
        <v>58</v>
      </c>
      <c r="C87" s="2" t="s">
        <v>167</v>
      </c>
      <c r="D87" s="2" t="s">
        <v>168</v>
      </c>
      <c r="E87" s="2" t="s">
        <v>169</v>
      </c>
      <c r="F87" s="2" t="s">
        <v>62</v>
      </c>
      <c r="G87" s="2" t="s">
        <v>168</v>
      </c>
      <c r="H87" s="2" t="s">
        <v>63</v>
      </c>
      <c r="I87" s="12" t="n">
        <v>1</v>
      </c>
      <c r="J87" s="12" t="n">
        <f aca="false">IF(COUNTIFS($D$2:$D87,$D87,$A$2:$A87,$A87)=1,1,0)</f>
        <v>1</v>
      </c>
    </row>
    <row r="88" customFormat="false" ht="15" hidden="false" customHeight="false" outlineLevel="0" collapsed="false">
      <c r="A88" s="11" t="n">
        <v>46224</v>
      </c>
      <c r="B88" s="2" t="s">
        <v>64</v>
      </c>
      <c r="C88" s="2" t="s">
        <v>171</v>
      </c>
      <c r="D88" s="2" t="s">
        <v>172</v>
      </c>
      <c r="E88" s="2" t="s">
        <v>173</v>
      </c>
      <c r="F88" s="2" t="s">
        <v>62</v>
      </c>
      <c r="G88" s="2" t="s">
        <v>179</v>
      </c>
      <c r="H88" s="2" t="s">
        <v>75</v>
      </c>
      <c r="I88" s="12" t="n">
        <v>1</v>
      </c>
      <c r="J88" s="12" t="n">
        <f aca="false">IF(COUNTIFS($D$2:$D88,$D88,$A$2:$A88,$A88)=1,1,0)</f>
        <v>1</v>
      </c>
    </row>
    <row r="89" customFormat="false" ht="15" hidden="false" customHeight="false" outlineLevel="0" collapsed="false">
      <c r="A89" s="11" t="n">
        <v>46224</v>
      </c>
      <c r="B89" s="2" t="s">
        <v>64</v>
      </c>
      <c r="C89" s="2" t="s">
        <v>180</v>
      </c>
      <c r="D89" s="2" t="s">
        <v>181</v>
      </c>
      <c r="E89" s="2" t="s">
        <v>182</v>
      </c>
      <c r="F89" s="2" t="s">
        <v>62</v>
      </c>
      <c r="G89" s="2" t="s">
        <v>183</v>
      </c>
      <c r="H89" s="2" t="s">
        <v>75</v>
      </c>
      <c r="I89" s="12" t="n">
        <v>1</v>
      </c>
      <c r="J89" s="12" t="n">
        <f aca="false">IF(COUNTIFS($D$2:$D89,$D89,$A$2:$A89,$A89)=1,1,0)</f>
        <v>1</v>
      </c>
    </row>
    <row r="90" customFormat="false" ht="15" hidden="false" customHeight="false" outlineLevel="0" collapsed="false">
      <c r="A90" s="11" t="n">
        <v>46225</v>
      </c>
      <c r="B90" s="2" t="s">
        <v>64</v>
      </c>
      <c r="C90" s="2" t="s">
        <v>132</v>
      </c>
      <c r="D90" s="2" t="s">
        <v>133</v>
      </c>
      <c r="E90" s="2" t="s">
        <v>134</v>
      </c>
      <c r="F90" s="2" t="s">
        <v>135</v>
      </c>
      <c r="G90" s="2" t="s">
        <v>184</v>
      </c>
      <c r="H90" s="2" t="s">
        <v>75</v>
      </c>
      <c r="I90" s="12" t="n">
        <v>1</v>
      </c>
      <c r="J90" s="12" t="n">
        <f aca="false">IF(COUNTIFS($D$2:$D90,$D90,$A$2:$A90,$A90)=1,1,0)</f>
        <v>1</v>
      </c>
    </row>
    <row r="91" customFormat="false" ht="15" hidden="false" customHeight="false" outlineLevel="0" collapsed="false">
      <c r="A91" s="11" t="n">
        <v>46225</v>
      </c>
      <c r="B91" s="2" t="s">
        <v>64</v>
      </c>
      <c r="C91" s="2" t="s">
        <v>132</v>
      </c>
      <c r="D91" s="2" t="s">
        <v>133</v>
      </c>
      <c r="E91" s="2" t="s">
        <v>134</v>
      </c>
      <c r="F91" s="2" t="s">
        <v>135</v>
      </c>
      <c r="G91" s="2" t="s">
        <v>133</v>
      </c>
      <c r="H91" s="2" t="s">
        <v>63</v>
      </c>
      <c r="I91" s="12" t="n">
        <v>1</v>
      </c>
      <c r="J91" s="12" t="n">
        <f aca="false">IF(COUNTIFS($D$2:$D91,$D91,$A$2:$A91,$A91)=1,1,0)</f>
        <v>0</v>
      </c>
    </row>
    <row r="92" customFormat="false" ht="15" hidden="false" customHeight="false" outlineLevel="0" collapsed="false">
      <c r="A92" s="11" t="n">
        <v>46225</v>
      </c>
      <c r="B92" s="2" t="s">
        <v>64</v>
      </c>
      <c r="C92" s="2" t="s">
        <v>145</v>
      </c>
      <c r="D92" s="2" t="s">
        <v>146</v>
      </c>
      <c r="E92" s="2" t="s">
        <v>134</v>
      </c>
      <c r="F92" s="2" t="s">
        <v>147</v>
      </c>
      <c r="G92" s="2" t="s">
        <v>146</v>
      </c>
      <c r="H92" s="2" t="s">
        <v>63</v>
      </c>
      <c r="I92" s="12" t="n">
        <v>1</v>
      </c>
      <c r="J92" s="12" t="n">
        <f aca="false">IF(COUNTIFS($D$2:$D92,$D92,$A$2:$A92,$A92)=1,1,0)</f>
        <v>1</v>
      </c>
    </row>
    <row r="93" customFormat="false" ht="15" hidden="false" customHeight="false" outlineLevel="0" collapsed="false">
      <c r="A93" s="11" t="n">
        <v>46225</v>
      </c>
      <c r="B93" s="2" t="s">
        <v>64</v>
      </c>
      <c r="C93" s="2" t="s">
        <v>128</v>
      </c>
      <c r="D93" s="2" t="s">
        <v>129</v>
      </c>
      <c r="E93" s="2" t="s">
        <v>130</v>
      </c>
      <c r="F93" s="2" t="s">
        <v>109</v>
      </c>
      <c r="G93" s="2" t="s">
        <v>131</v>
      </c>
      <c r="H93" s="2" t="s">
        <v>75</v>
      </c>
      <c r="I93" s="12" t="n">
        <v>1</v>
      </c>
      <c r="J93" s="12" t="n">
        <f aca="false">IF(COUNTIFS($D$2:$D93,$D93,$A$2:$A93,$A93)=1,1,0)</f>
        <v>1</v>
      </c>
    </row>
    <row r="94" customFormat="false" ht="15" hidden="false" customHeight="false" outlineLevel="0" collapsed="false">
      <c r="A94" s="11" t="n">
        <v>46225</v>
      </c>
      <c r="B94" s="2" t="s">
        <v>64</v>
      </c>
      <c r="C94" s="2" t="s">
        <v>167</v>
      </c>
      <c r="D94" s="2" t="s">
        <v>168</v>
      </c>
      <c r="E94" s="2" t="s">
        <v>169</v>
      </c>
      <c r="F94" s="2" t="s">
        <v>62</v>
      </c>
      <c r="G94" s="2" t="s">
        <v>170</v>
      </c>
      <c r="H94" s="2" t="s">
        <v>75</v>
      </c>
      <c r="I94" s="12" t="n">
        <v>1</v>
      </c>
      <c r="J94" s="12" t="n">
        <f aca="false">IF(COUNTIFS($D$2:$D94,$D94,$A$2:$A94,$A94)=1,1,0)</f>
        <v>1</v>
      </c>
    </row>
    <row r="95" customFormat="false" ht="15" hidden="false" customHeight="false" outlineLevel="0" collapsed="false">
      <c r="A95" s="11" t="n">
        <v>46225</v>
      </c>
      <c r="B95" s="2" t="s">
        <v>58</v>
      </c>
      <c r="C95" s="2" t="s">
        <v>185</v>
      </c>
      <c r="D95" s="2" t="s">
        <v>186</v>
      </c>
      <c r="E95" s="2" t="s">
        <v>187</v>
      </c>
      <c r="F95" s="2" t="s">
        <v>62</v>
      </c>
      <c r="G95" s="2" t="s">
        <v>186</v>
      </c>
      <c r="H95" s="2" t="s">
        <v>63</v>
      </c>
      <c r="I95" s="12" t="n">
        <v>1</v>
      </c>
      <c r="J95" s="12" t="n">
        <f aca="false">IF(COUNTIFS($D$2:$D95,$D95,$A$2:$A95,$A95)=1,1,0)</f>
        <v>1</v>
      </c>
    </row>
    <row r="96" customFormat="false" ht="15" hidden="false" customHeight="false" outlineLevel="0" collapsed="false">
      <c r="A96" s="11" t="n">
        <v>46225</v>
      </c>
      <c r="B96" s="2" t="s">
        <v>64</v>
      </c>
      <c r="C96" s="2" t="s">
        <v>65</v>
      </c>
      <c r="D96" s="2" t="s">
        <v>66</v>
      </c>
      <c r="E96" s="2" t="s">
        <v>67</v>
      </c>
      <c r="F96" s="2" t="s">
        <v>62</v>
      </c>
      <c r="G96" s="2" t="s">
        <v>110</v>
      </c>
      <c r="H96" s="2" t="s">
        <v>75</v>
      </c>
      <c r="I96" s="12" t="n">
        <v>2</v>
      </c>
      <c r="J96" s="12" t="n">
        <f aca="false">IF(COUNTIFS($D$2:$D96,$D96,$A$2:$A96,$A96)=1,1,0)</f>
        <v>1</v>
      </c>
    </row>
    <row r="97" customFormat="false" ht="15" hidden="false" customHeight="false" outlineLevel="0" collapsed="false">
      <c r="A97" s="11" t="n">
        <v>46225</v>
      </c>
      <c r="B97" s="2" t="s">
        <v>64</v>
      </c>
      <c r="C97" s="2" t="s">
        <v>78</v>
      </c>
      <c r="D97" s="2" t="s">
        <v>79</v>
      </c>
      <c r="E97" s="2" t="s">
        <v>80</v>
      </c>
      <c r="F97" s="2" t="s">
        <v>62</v>
      </c>
      <c r="G97" s="2" t="s">
        <v>81</v>
      </c>
      <c r="H97" s="2" t="s">
        <v>75</v>
      </c>
      <c r="I97" s="12" t="n">
        <v>1</v>
      </c>
      <c r="J97" s="12" t="n">
        <f aca="false">IF(COUNTIFS($D$2:$D97,$D97,$A$2:$A97,$A97)=1,1,0)</f>
        <v>1</v>
      </c>
    </row>
    <row r="98" customFormat="false" ht="15" hidden="false" customHeight="false" outlineLevel="0" collapsed="false">
      <c r="A98" s="11" t="n">
        <v>46226</v>
      </c>
      <c r="B98" s="2" t="s">
        <v>64</v>
      </c>
      <c r="C98" s="2" t="s">
        <v>145</v>
      </c>
      <c r="D98" s="2" t="s">
        <v>146</v>
      </c>
      <c r="E98" s="2" t="s">
        <v>134</v>
      </c>
      <c r="F98" s="2" t="s">
        <v>147</v>
      </c>
      <c r="G98" s="2" t="s">
        <v>146</v>
      </c>
      <c r="H98" s="2" t="s">
        <v>63</v>
      </c>
      <c r="I98" s="12" t="n">
        <v>1</v>
      </c>
      <c r="J98" s="12" t="n">
        <f aca="false">IF(COUNTIFS($D$2:$D98,$D98,$A$2:$A98,$A98)=1,1,0)</f>
        <v>1</v>
      </c>
    </row>
    <row r="99" customFormat="false" ht="15" hidden="false" customHeight="false" outlineLevel="0" collapsed="false">
      <c r="A99" s="11" t="n">
        <v>46226</v>
      </c>
      <c r="B99" s="2" t="s">
        <v>64</v>
      </c>
      <c r="C99" s="2" t="s">
        <v>65</v>
      </c>
      <c r="D99" s="2" t="s">
        <v>66</v>
      </c>
      <c r="E99" s="2" t="s">
        <v>67</v>
      </c>
      <c r="F99" s="2" t="s">
        <v>62</v>
      </c>
      <c r="G99" s="2" t="s">
        <v>66</v>
      </c>
      <c r="H99" s="2" t="s">
        <v>63</v>
      </c>
      <c r="I99" s="12" t="n">
        <v>1</v>
      </c>
      <c r="J99" s="12" t="n">
        <f aca="false">IF(COUNTIFS($D$2:$D99,$D99,$A$2:$A99,$A99)=1,1,0)</f>
        <v>1</v>
      </c>
    </row>
    <row r="100" customFormat="false" ht="15" hidden="false" customHeight="false" outlineLevel="0" collapsed="false">
      <c r="A100" s="11" t="n">
        <v>46226</v>
      </c>
      <c r="B100" s="2" t="s">
        <v>64</v>
      </c>
      <c r="C100" s="2" t="s">
        <v>59</v>
      </c>
      <c r="D100" s="2" t="s">
        <v>60</v>
      </c>
      <c r="E100" s="2" t="s">
        <v>61</v>
      </c>
      <c r="F100" s="2" t="s">
        <v>62</v>
      </c>
      <c r="G100" s="2" t="s">
        <v>77</v>
      </c>
      <c r="H100" s="2" t="s">
        <v>75</v>
      </c>
      <c r="I100" s="12" t="n">
        <v>1</v>
      </c>
      <c r="J100" s="12" t="n">
        <f aca="false">IF(COUNTIFS($D$2:$D100,$D100,$A$2:$A100,$A100)=1,1,0)</f>
        <v>1</v>
      </c>
    </row>
    <row r="101" customFormat="false" ht="15" hidden="false" customHeight="false" outlineLevel="0" collapsed="false">
      <c r="A101" s="11" t="n">
        <v>46226</v>
      </c>
      <c r="B101" s="2" t="s">
        <v>64</v>
      </c>
      <c r="C101" s="2" t="s">
        <v>188</v>
      </c>
      <c r="D101" s="2" t="s">
        <v>189</v>
      </c>
      <c r="E101" s="2" t="s">
        <v>190</v>
      </c>
      <c r="F101" s="2" t="s">
        <v>62</v>
      </c>
      <c r="G101" s="2" t="s">
        <v>191</v>
      </c>
      <c r="H101" s="2" t="s">
        <v>75</v>
      </c>
      <c r="I101" s="12" t="n">
        <v>1</v>
      </c>
      <c r="J101" s="12" t="n">
        <f aca="false">IF(COUNTIFS($D$2:$D101,$D101,$A$2:$A101,$A101)=1,1,0)</f>
        <v>1</v>
      </c>
    </row>
    <row r="102" customFormat="false" ht="15" hidden="false" customHeight="false" outlineLevel="0" collapsed="false">
      <c r="A102" s="11" t="n">
        <v>46227</v>
      </c>
      <c r="B102" s="2" t="s">
        <v>64</v>
      </c>
      <c r="C102" s="2" t="s">
        <v>65</v>
      </c>
      <c r="D102" s="2" t="s">
        <v>66</v>
      </c>
      <c r="E102" s="2" t="s">
        <v>67</v>
      </c>
      <c r="F102" s="2" t="s">
        <v>62</v>
      </c>
      <c r="G102" s="2" t="s">
        <v>66</v>
      </c>
      <c r="H102" s="2" t="s">
        <v>63</v>
      </c>
      <c r="I102" s="12" t="n">
        <v>1</v>
      </c>
      <c r="J102" s="12" t="n">
        <f aca="false">IF(COUNTIFS($D$2:$D102,$D102,$A$2:$A102,$A102)=1,1,0)</f>
        <v>1</v>
      </c>
    </row>
    <row r="103" customFormat="false" ht="15" hidden="false" customHeight="false" outlineLevel="0" collapsed="false">
      <c r="A103" s="11" t="n">
        <v>46227</v>
      </c>
      <c r="B103" s="2" t="s">
        <v>64</v>
      </c>
      <c r="C103" s="2" t="s">
        <v>95</v>
      </c>
      <c r="D103" s="2" t="s">
        <v>192</v>
      </c>
      <c r="E103" s="2" t="s">
        <v>193</v>
      </c>
      <c r="F103" s="2" t="s">
        <v>62</v>
      </c>
      <c r="G103" s="2" t="s">
        <v>194</v>
      </c>
      <c r="H103" s="2" t="s">
        <v>75</v>
      </c>
      <c r="I103" s="12" t="n">
        <v>1</v>
      </c>
      <c r="J103" s="12" t="n">
        <f aca="false">IF(COUNTIFS($D$2:$D103,$D103,$A$2:$A103,$A103)=1,1,0)</f>
        <v>1</v>
      </c>
    </row>
    <row r="104" customFormat="false" ht="15" hidden="false" customHeight="false" outlineLevel="0" collapsed="false">
      <c r="A104" s="11" t="n">
        <v>46227</v>
      </c>
      <c r="B104" s="2" t="s">
        <v>64</v>
      </c>
      <c r="C104" s="2" t="s">
        <v>171</v>
      </c>
      <c r="D104" s="2" t="s">
        <v>172</v>
      </c>
      <c r="E104" s="2" t="s">
        <v>173</v>
      </c>
      <c r="F104" s="2" t="s">
        <v>62</v>
      </c>
      <c r="G104" s="2" t="s">
        <v>179</v>
      </c>
      <c r="H104" s="2" t="s">
        <v>75</v>
      </c>
      <c r="I104" s="12" t="n">
        <v>1</v>
      </c>
      <c r="J104" s="12" t="n">
        <f aca="false">IF(COUNTIFS($D$2:$D104,$D104,$A$2:$A104,$A104)=1,1,0)</f>
        <v>1</v>
      </c>
    </row>
    <row r="105" customFormat="false" ht="15" hidden="false" customHeight="false" outlineLevel="0" collapsed="false">
      <c r="A105" s="11" t="n">
        <v>46227</v>
      </c>
      <c r="B105" s="2" t="s">
        <v>64</v>
      </c>
      <c r="C105" s="2" t="s">
        <v>112</v>
      </c>
      <c r="D105" s="2" t="s">
        <v>113</v>
      </c>
      <c r="E105" s="2" t="s">
        <v>114</v>
      </c>
      <c r="F105" s="2" t="s">
        <v>62</v>
      </c>
      <c r="G105" s="2" t="s">
        <v>115</v>
      </c>
      <c r="H105" s="2" t="s">
        <v>75</v>
      </c>
      <c r="I105" s="12" t="n">
        <v>1</v>
      </c>
      <c r="J105" s="12" t="n">
        <f aca="false">IF(COUNTIFS($D$2:$D105,$D105,$A$2:$A105,$A105)=1,1,0)</f>
        <v>1</v>
      </c>
    </row>
    <row r="106" customFormat="false" ht="15" hidden="false" customHeight="false" outlineLevel="0" collapsed="false">
      <c r="A106" s="11" t="n">
        <v>46229</v>
      </c>
      <c r="B106" s="2" t="s">
        <v>64</v>
      </c>
      <c r="C106" s="2" t="s">
        <v>195</v>
      </c>
      <c r="D106" s="2" t="s">
        <v>196</v>
      </c>
      <c r="E106" s="2" t="s">
        <v>197</v>
      </c>
      <c r="F106" s="2" t="s">
        <v>62</v>
      </c>
      <c r="G106" s="2" t="s">
        <v>198</v>
      </c>
      <c r="H106" s="2" t="s">
        <v>75</v>
      </c>
      <c r="I106" s="12" t="n">
        <v>2</v>
      </c>
      <c r="J106" s="12" t="n">
        <f aca="false">IF(COUNTIFS($D$2:$D106,$D106,$A$2:$A106,$A106)=1,1,0)</f>
        <v>1</v>
      </c>
    </row>
    <row r="107" customFormat="false" ht="15" hidden="false" customHeight="false" outlineLevel="0" collapsed="false">
      <c r="A107" s="11" t="n">
        <v>46230</v>
      </c>
      <c r="B107" s="2" t="s">
        <v>64</v>
      </c>
      <c r="C107" s="2" t="s">
        <v>167</v>
      </c>
      <c r="D107" s="2" t="s">
        <v>168</v>
      </c>
      <c r="E107" s="2" t="s">
        <v>169</v>
      </c>
      <c r="F107" s="2" t="s">
        <v>62</v>
      </c>
      <c r="G107" s="2" t="s">
        <v>170</v>
      </c>
      <c r="H107" s="2" t="s">
        <v>75</v>
      </c>
      <c r="I107" s="12" t="n">
        <v>1</v>
      </c>
      <c r="J107" s="12" t="n">
        <f aca="false">IF(COUNTIFS($D$2:$D107,$D107,$A$2:$A107,$A107)=1,1,0)</f>
        <v>1</v>
      </c>
    </row>
    <row r="108" customFormat="false" ht="15" hidden="false" customHeight="false" outlineLevel="0" collapsed="false">
      <c r="A108" s="11" t="n">
        <v>46230</v>
      </c>
      <c r="B108" s="2" t="s">
        <v>64</v>
      </c>
      <c r="C108" s="2" t="s">
        <v>199</v>
      </c>
      <c r="D108" s="2" t="s">
        <v>200</v>
      </c>
      <c r="E108" s="2" t="s">
        <v>201</v>
      </c>
      <c r="F108" s="2" t="s">
        <v>62</v>
      </c>
      <c r="G108" s="2" t="s">
        <v>200</v>
      </c>
      <c r="H108" s="2" t="s">
        <v>63</v>
      </c>
      <c r="I108" s="12" t="n">
        <v>1</v>
      </c>
      <c r="J108" s="12" t="n">
        <f aca="false">IF(COUNTIFS($D$2:$D108,$D108,$A$2:$A108,$A108)=1,1,0)</f>
        <v>1</v>
      </c>
    </row>
    <row r="109" customFormat="false" ht="15" hidden="false" customHeight="false" outlineLevel="0" collapsed="false">
      <c r="A109" s="11" t="n">
        <v>46230</v>
      </c>
      <c r="B109" s="2" t="s">
        <v>64</v>
      </c>
      <c r="C109" s="2" t="s">
        <v>202</v>
      </c>
      <c r="D109" s="2" t="s">
        <v>203</v>
      </c>
      <c r="E109" s="2" t="s">
        <v>204</v>
      </c>
      <c r="F109" s="2" t="s">
        <v>62</v>
      </c>
      <c r="G109" s="2" t="s">
        <v>205</v>
      </c>
      <c r="H109" s="2" t="s">
        <v>75</v>
      </c>
      <c r="I109" s="12" t="n">
        <v>1</v>
      </c>
      <c r="J109" s="12" t="n">
        <f aca="false">IF(COUNTIFS($D$2:$D109,$D109,$A$2:$A109,$A109)=1,1,0)</f>
        <v>1</v>
      </c>
    </row>
    <row r="110" customFormat="false" ht="15" hidden="false" customHeight="false" outlineLevel="0" collapsed="false">
      <c r="A110" s="11" t="n">
        <v>46231</v>
      </c>
      <c r="B110" s="2" t="s">
        <v>98</v>
      </c>
      <c r="C110" s="2" t="s">
        <v>206</v>
      </c>
      <c r="D110" s="2" t="s">
        <v>207</v>
      </c>
      <c r="E110" s="2" t="s">
        <v>208</v>
      </c>
      <c r="F110" s="2" t="s">
        <v>94</v>
      </c>
      <c r="G110" s="2" t="s">
        <v>207</v>
      </c>
      <c r="H110" s="2" t="s">
        <v>63</v>
      </c>
      <c r="I110" s="12" t="n">
        <v>1</v>
      </c>
      <c r="J110" s="12" t="n">
        <f aca="false">IF(COUNTIFS($D$2:$D110,$D110,$A$2:$A110,$A110)=1,1,0)</f>
        <v>1</v>
      </c>
    </row>
    <row r="111" customFormat="false" ht="15" hidden="false" customHeight="false" outlineLevel="0" collapsed="false">
      <c r="A111" s="11" t="n">
        <v>46231</v>
      </c>
      <c r="B111" s="2" t="s">
        <v>64</v>
      </c>
      <c r="C111" s="2" t="s">
        <v>65</v>
      </c>
      <c r="D111" s="2" t="s">
        <v>66</v>
      </c>
      <c r="E111" s="2" t="s">
        <v>67</v>
      </c>
      <c r="F111" s="2" t="s">
        <v>62</v>
      </c>
      <c r="G111" s="2" t="s">
        <v>66</v>
      </c>
      <c r="H111" s="2" t="s">
        <v>63</v>
      </c>
      <c r="I111" s="12" t="n">
        <v>1</v>
      </c>
      <c r="J111" s="12" t="n">
        <f aca="false">IF(COUNTIFS($D$2:$D111,$D111,$A$2:$A111,$A111)=1,1,0)</f>
        <v>1</v>
      </c>
    </row>
    <row r="112" customFormat="false" ht="15" hidden="false" customHeight="false" outlineLevel="0" collapsed="false">
      <c r="A112" s="11" t="n">
        <v>46231</v>
      </c>
      <c r="B112" s="2" t="s">
        <v>64</v>
      </c>
      <c r="C112" s="2" t="s">
        <v>120</v>
      </c>
      <c r="D112" s="2" t="s">
        <v>121</v>
      </c>
      <c r="E112" s="2" t="s">
        <v>122</v>
      </c>
      <c r="F112" s="2" t="s">
        <v>62</v>
      </c>
      <c r="G112" s="2" t="s">
        <v>123</v>
      </c>
      <c r="H112" s="2" t="s">
        <v>75</v>
      </c>
      <c r="I112" s="12" t="n">
        <v>1</v>
      </c>
      <c r="J112" s="12" t="n">
        <f aca="false">IF(COUNTIFS($D$2:$D112,$D112,$A$2:$A112,$A112)=1,1,0)</f>
        <v>1</v>
      </c>
    </row>
    <row r="113" customFormat="false" ht="15" hidden="false" customHeight="false" outlineLevel="0" collapsed="false">
      <c r="A113" s="11" t="n">
        <v>46232</v>
      </c>
      <c r="B113" s="2" t="s">
        <v>64</v>
      </c>
      <c r="C113" s="2" t="s">
        <v>145</v>
      </c>
      <c r="D113" s="2" t="s">
        <v>146</v>
      </c>
      <c r="E113" s="2" t="s">
        <v>134</v>
      </c>
      <c r="F113" s="2" t="s">
        <v>147</v>
      </c>
      <c r="G113" s="2" t="s">
        <v>146</v>
      </c>
      <c r="H113" s="2" t="s">
        <v>63</v>
      </c>
      <c r="I113" s="12" t="n">
        <v>1</v>
      </c>
      <c r="J113" s="12" t="n">
        <f aca="false">IF(COUNTIFS($D$2:$D113,$D113,$A$2:$A113,$A113)=1,1,0)</f>
        <v>1</v>
      </c>
    </row>
    <row r="114" customFormat="false" ht="15" hidden="false" customHeight="false" outlineLevel="0" collapsed="false">
      <c r="A114" s="11" t="n">
        <v>46232</v>
      </c>
      <c r="B114" s="2" t="s">
        <v>64</v>
      </c>
      <c r="C114" s="2" t="s">
        <v>128</v>
      </c>
      <c r="D114" s="2" t="s">
        <v>129</v>
      </c>
      <c r="E114" s="2" t="s">
        <v>130</v>
      </c>
      <c r="F114" s="2" t="s">
        <v>109</v>
      </c>
      <c r="G114" s="2" t="s">
        <v>131</v>
      </c>
      <c r="H114" s="2" t="s">
        <v>75</v>
      </c>
      <c r="I114" s="12" t="n">
        <v>1</v>
      </c>
      <c r="J114" s="12" t="n">
        <f aca="false">IF(COUNTIFS($D$2:$D114,$D114,$A$2:$A114,$A114)=1,1,0)</f>
        <v>1</v>
      </c>
    </row>
    <row r="115" customFormat="false" ht="15" hidden="false" customHeight="false" outlineLevel="0" collapsed="false">
      <c r="A115" s="11" t="n">
        <v>46232</v>
      </c>
      <c r="B115" s="2" t="s">
        <v>98</v>
      </c>
      <c r="C115" s="2" t="s">
        <v>95</v>
      </c>
      <c r="D115" s="2" t="s">
        <v>192</v>
      </c>
      <c r="E115" s="2" t="s">
        <v>193</v>
      </c>
      <c r="F115" s="2" t="s">
        <v>62</v>
      </c>
      <c r="G115" s="2" t="s">
        <v>192</v>
      </c>
      <c r="H115" s="2" t="s">
        <v>63</v>
      </c>
      <c r="I115" s="12" t="n">
        <v>1</v>
      </c>
      <c r="J115" s="12" t="n">
        <f aca="false">IF(COUNTIFS($D$2:$D115,$D115,$A$2:$A115,$A115)=1,1,0)</f>
        <v>1</v>
      </c>
    </row>
    <row r="116" customFormat="false" ht="15" hidden="false" customHeight="false" outlineLevel="0" collapsed="false">
      <c r="A116" s="11" t="n">
        <v>46232</v>
      </c>
      <c r="B116" s="2" t="s">
        <v>64</v>
      </c>
      <c r="C116" s="2" t="s">
        <v>78</v>
      </c>
      <c r="D116" s="2" t="s">
        <v>79</v>
      </c>
      <c r="E116" s="2" t="s">
        <v>80</v>
      </c>
      <c r="F116" s="2" t="s">
        <v>62</v>
      </c>
      <c r="G116" s="2" t="s">
        <v>81</v>
      </c>
      <c r="H116" s="2" t="s">
        <v>75</v>
      </c>
      <c r="I116" s="12" t="n">
        <v>1</v>
      </c>
      <c r="J116" s="12" t="n">
        <f aca="false">IF(COUNTIFS($D$2:$D116,$D116,$A$2:$A116,$A116)=1,1,0)</f>
        <v>1</v>
      </c>
    </row>
    <row r="117" customFormat="false" ht="15" hidden="false" customHeight="false" outlineLevel="0" collapsed="false">
      <c r="A117" s="11" t="n">
        <v>46232</v>
      </c>
      <c r="B117" s="2" t="s">
        <v>64</v>
      </c>
      <c r="C117" s="2" t="s">
        <v>91</v>
      </c>
      <c r="D117" s="2" t="s">
        <v>92</v>
      </c>
      <c r="E117" s="2" t="s">
        <v>93</v>
      </c>
      <c r="F117" s="2" t="s">
        <v>94</v>
      </c>
      <c r="G117" s="2" t="s">
        <v>92</v>
      </c>
      <c r="H117" s="2" t="s">
        <v>63</v>
      </c>
      <c r="I117" s="12" t="n">
        <v>1</v>
      </c>
      <c r="J117" s="12" t="n">
        <f aca="false">IF(COUNTIFS($D$2:$D117,$D117,$A$2:$A117,$A117)=1,1,0)</f>
        <v>1</v>
      </c>
    </row>
    <row r="118" customFormat="false" ht="15" hidden="false" customHeight="false" outlineLevel="0" collapsed="false">
      <c r="A118" s="11" t="n">
        <v>46233</v>
      </c>
      <c r="B118" s="2" t="s">
        <v>64</v>
      </c>
      <c r="C118" s="2" t="s">
        <v>209</v>
      </c>
      <c r="D118" s="2" t="s">
        <v>210</v>
      </c>
      <c r="E118" s="2" t="s">
        <v>211</v>
      </c>
      <c r="F118" s="2" t="s">
        <v>109</v>
      </c>
      <c r="G118" s="2" t="s">
        <v>212</v>
      </c>
      <c r="H118" s="2" t="s">
        <v>75</v>
      </c>
      <c r="I118" s="12" t="n">
        <v>1</v>
      </c>
      <c r="J118" s="12" t="n">
        <f aca="false">IF(COUNTIFS($D$2:$D118,$D118,$A$2:$A118,$A118)=1,1,0)</f>
        <v>1</v>
      </c>
    </row>
    <row r="119" customFormat="false" ht="15" hidden="false" customHeight="false" outlineLevel="0" collapsed="false">
      <c r="A119" s="11" t="n">
        <v>46233</v>
      </c>
      <c r="B119" s="2" t="s">
        <v>64</v>
      </c>
      <c r="C119" s="2" t="s">
        <v>167</v>
      </c>
      <c r="D119" s="2" t="s">
        <v>168</v>
      </c>
      <c r="E119" s="2" t="s">
        <v>169</v>
      </c>
      <c r="F119" s="2" t="s">
        <v>62</v>
      </c>
      <c r="G119" s="2" t="s">
        <v>170</v>
      </c>
      <c r="H119" s="2" t="s">
        <v>75</v>
      </c>
      <c r="I119" s="12" t="n">
        <v>1</v>
      </c>
      <c r="J119" s="12" t="n">
        <f aca="false">IF(COUNTIFS($D$2:$D119,$D119,$A$2:$A119,$A119)=1,1,0)</f>
        <v>1</v>
      </c>
    </row>
    <row r="120" customFormat="false" ht="15" hidden="false" customHeight="false" outlineLevel="0" collapsed="false">
      <c r="A120" s="11" t="n">
        <v>46233</v>
      </c>
      <c r="B120" s="2" t="s">
        <v>64</v>
      </c>
      <c r="C120" s="2" t="s">
        <v>213</v>
      </c>
      <c r="D120" s="2" t="s">
        <v>214</v>
      </c>
      <c r="E120" s="2" t="s">
        <v>215</v>
      </c>
      <c r="F120" s="2" t="s">
        <v>62</v>
      </c>
      <c r="G120" s="2" t="s">
        <v>214</v>
      </c>
      <c r="H120" s="2" t="s">
        <v>63</v>
      </c>
      <c r="I120" s="12" t="n">
        <v>1</v>
      </c>
      <c r="J120" s="12" t="n">
        <f aca="false">IF(COUNTIFS($D$2:$D120,$D120,$A$2:$A120,$A120)=1,1,0)</f>
        <v>1</v>
      </c>
    </row>
    <row r="121" customFormat="false" ht="15" hidden="false" customHeight="false" outlineLevel="0" collapsed="false">
      <c r="A121" s="11" t="n">
        <v>46233</v>
      </c>
      <c r="B121" s="2" t="s">
        <v>64</v>
      </c>
      <c r="C121" s="2" t="s">
        <v>65</v>
      </c>
      <c r="D121" s="2" t="s">
        <v>66</v>
      </c>
      <c r="E121" s="2" t="s">
        <v>67</v>
      </c>
      <c r="F121" s="2" t="s">
        <v>62</v>
      </c>
      <c r="G121" s="2" t="s">
        <v>110</v>
      </c>
      <c r="H121" s="2" t="s">
        <v>75</v>
      </c>
      <c r="I121" s="12" t="n">
        <v>1</v>
      </c>
      <c r="J121" s="12" t="n">
        <f aca="false">IF(COUNTIFS($D$2:$D121,$D121,$A$2:$A121,$A121)=1,1,0)</f>
        <v>1</v>
      </c>
    </row>
    <row r="122" customFormat="false" ht="15" hidden="false" customHeight="false" outlineLevel="0" collapsed="false">
      <c r="A122" s="11" t="n">
        <v>46233</v>
      </c>
      <c r="B122" s="2" t="s">
        <v>64</v>
      </c>
      <c r="C122" s="2" t="s">
        <v>65</v>
      </c>
      <c r="D122" s="2" t="s">
        <v>66</v>
      </c>
      <c r="E122" s="2" t="s">
        <v>67</v>
      </c>
      <c r="F122" s="2" t="s">
        <v>62</v>
      </c>
      <c r="G122" s="2" t="s">
        <v>66</v>
      </c>
      <c r="H122" s="2" t="s">
        <v>63</v>
      </c>
      <c r="I122" s="12" t="n">
        <v>1</v>
      </c>
      <c r="J122" s="12" t="n">
        <f aca="false">IF(COUNTIFS($D$2:$D122,$D122,$A$2:$A122,$A122)=1,1,0)</f>
        <v>0</v>
      </c>
    </row>
    <row r="123" customFormat="false" ht="15" hidden="false" customHeight="false" outlineLevel="0" collapsed="false">
      <c r="A123" s="11" t="n">
        <v>46233</v>
      </c>
      <c r="B123" s="2" t="s">
        <v>64</v>
      </c>
      <c r="C123" s="2" t="s">
        <v>71</v>
      </c>
      <c r="D123" s="2" t="s">
        <v>72</v>
      </c>
      <c r="E123" s="2" t="s">
        <v>73</v>
      </c>
      <c r="F123" s="2" t="s">
        <v>62</v>
      </c>
      <c r="G123" s="2" t="s">
        <v>76</v>
      </c>
      <c r="H123" s="2" t="s">
        <v>75</v>
      </c>
      <c r="I123" s="12" t="n">
        <v>1</v>
      </c>
      <c r="J123" s="12" t="n">
        <f aca="false">IF(COUNTIFS($D$2:$D123,$D123,$A$2:$A123,$A123)=1,1,0)</f>
        <v>1</v>
      </c>
    </row>
    <row r="124" customFormat="false" ht="15" hidden="false" customHeight="false" outlineLevel="0" collapsed="false">
      <c r="A124" s="11" t="n">
        <v>46234</v>
      </c>
      <c r="B124" s="2" t="s">
        <v>64</v>
      </c>
      <c r="C124" s="2" t="s">
        <v>120</v>
      </c>
      <c r="D124" s="2" t="s">
        <v>121</v>
      </c>
      <c r="E124" s="2" t="s">
        <v>122</v>
      </c>
      <c r="F124" s="2" t="s">
        <v>62</v>
      </c>
      <c r="G124" s="2" t="s">
        <v>123</v>
      </c>
      <c r="H124" s="2" t="s">
        <v>75</v>
      </c>
      <c r="I124" s="12" t="n">
        <v>1</v>
      </c>
      <c r="J124" s="12" t="n">
        <f aca="false">IF(COUNTIFS($D$2:$D124,$D124,$A$2:$A124,$A124)=1,1,0)</f>
        <v>1</v>
      </c>
    </row>
    <row r="125" customFormat="false" ht="15" hidden="false" customHeight="false" outlineLevel="0" collapsed="false">
      <c r="A125" s="11" t="n">
        <v>46234</v>
      </c>
      <c r="B125" s="2" t="s">
        <v>64</v>
      </c>
      <c r="C125" s="2" t="s">
        <v>59</v>
      </c>
      <c r="D125" s="2" t="s">
        <v>60</v>
      </c>
      <c r="E125" s="2" t="s">
        <v>61</v>
      </c>
      <c r="F125" s="2" t="s">
        <v>62</v>
      </c>
      <c r="G125" s="2" t="s">
        <v>77</v>
      </c>
      <c r="H125" s="2" t="s">
        <v>75</v>
      </c>
      <c r="I125" s="12" t="n">
        <v>1</v>
      </c>
      <c r="J125" s="12" t="n">
        <f aca="false">IF(COUNTIFS($D$2:$D125,$D125,$A$2:$A125,$A125)=1,1,0)</f>
        <v>1</v>
      </c>
    </row>
    <row r="126" customFormat="false" ht="15" hidden="false" customHeight="false" outlineLevel="0" collapsed="false">
      <c r="A126" s="11" t="n">
        <v>46235</v>
      </c>
      <c r="B126" s="2" t="s">
        <v>64</v>
      </c>
      <c r="C126" s="2" t="s">
        <v>78</v>
      </c>
      <c r="D126" s="2" t="s">
        <v>79</v>
      </c>
      <c r="E126" s="2" t="s">
        <v>80</v>
      </c>
      <c r="F126" s="2" t="s">
        <v>62</v>
      </c>
      <c r="G126" s="2" t="s">
        <v>81</v>
      </c>
      <c r="H126" s="2" t="s">
        <v>75</v>
      </c>
      <c r="I126" s="12" t="n">
        <v>1</v>
      </c>
      <c r="J126" s="12" t="n">
        <f aca="false">IF(COUNTIFS($D$2:$D126,$D126,$A$2:$A126,$A126)=1,1,0)</f>
        <v>1</v>
      </c>
    </row>
    <row r="127" customFormat="false" ht="15" hidden="false" customHeight="false" outlineLevel="0" collapsed="false">
      <c r="A127" s="11" t="n">
        <v>46236</v>
      </c>
      <c r="B127" s="2" t="s">
        <v>64</v>
      </c>
      <c r="C127" s="2" t="s">
        <v>120</v>
      </c>
      <c r="D127" s="2" t="s">
        <v>121</v>
      </c>
      <c r="E127" s="2" t="s">
        <v>122</v>
      </c>
      <c r="F127" s="2" t="s">
        <v>62</v>
      </c>
      <c r="G127" s="2" t="s">
        <v>216</v>
      </c>
      <c r="H127" s="2" t="s">
        <v>75</v>
      </c>
      <c r="I127" s="12" t="n">
        <v>1</v>
      </c>
      <c r="J127" s="12" t="n">
        <f aca="false">IF(COUNTIFS($D$2:$D127,$D127,$A$2:$A127,$A127)=1,1,0)</f>
        <v>1</v>
      </c>
    </row>
    <row r="128" customFormat="false" ht="15" hidden="false" customHeight="false" outlineLevel="0" collapsed="false">
      <c r="A128" s="11" t="n">
        <v>46237</v>
      </c>
      <c r="B128" s="2" t="s">
        <v>64</v>
      </c>
      <c r="C128" s="2" t="s">
        <v>59</v>
      </c>
      <c r="D128" s="2" t="s">
        <v>60</v>
      </c>
      <c r="E128" s="2" t="s">
        <v>61</v>
      </c>
      <c r="F128" s="2" t="s">
        <v>62</v>
      </c>
      <c r="G128" s="2" t="s">
        <v>77</v>
      </c>
      <c r="H128" s="2" t="s">
        <v>75</v>
      </c>
      <c r="I128" s="12" t="n">
        <v>1</v>
      </c>
      <c r="J128" s="12" t="n">
        <f aca="false">IF(COUNTIFS($D$2:$D128,$D128,$A$2:$A128,$A128)=1,1,0)</f>
        <v>1</v>
      </c>
    </row>
    <row r="129" customFormat="false" ht="15" hidden="false" customHeight="false" outlineLevel="0" collapsed="false">
      <c r="A129" s="11" t="n">
        <v>46237</v>
      </c>
      <c r="B129" s="2" t="s">
        <v>64</v>
      </c>
      <c r="C129" s="2" t="s">
        <v>68</v>
      </c>
      <c r="D129" s="2" t="s">
        <v>69</v>
      </c>
      <c r="E129" s="2" t="s">
        <v>70</v>
      </c>
      <c r="F129" s="2" t="s">
        <v>62</v>
      </c>
      <c r="G129" s="2" t="s">
        <v>178</v>
      </c>
      <c r="H129" s="2" t="s">
        <v>75</v>
      </c>
      <c r="I129" s="12" t="n">
        <v>2</v>
      </c>
      <c r="J129" s="12" t="n">
        <f aca="false">IF(COUNTIFS($D$2:$D129,$D129,$A$2:$A129,$A129)=1,1,0)</f>
        <v>1</v>
      </c>
    </row>
    <row r="130" customFormat="false" ht="15" hidden="false" customHeight="false" outlineLevel="0" collapsed="false">
      <c r="A130" s="11" t="n">
        <v>46238</v>
      </c>
      <c r="B130" s="2" t="s">
        <v>64</v>
      </c>
      <c r="C130" s="2" t="s">
        <v>145</v>
      </c>
      <c r="D130" s="2" t="s">
        <v>146</v>
      </c>
      <c r="E130" s="2" t="s">
        <v>134</v>
      </c>
      <c r="F130" s="2" t="s">
        <v>147</v>
      </c>
      <c r="G130" s="2" t="s">
        <v>146</v>
      </c>
      <c r="H130" s="2" t="s">
        <v>63</v>
      </c>
      <c r="I130" s="12" t="n">
        <v>1</v>
      </c>
      <c r="J130" s="12" t="n">
        <f aca="false">IF(COUNTIFS($D$2:$D130,$D130,$A$2:$A130,$A130)=1,1,0)</f>
        <v>1</v>
      </c>
    </row>
    <row r="131" customFormat="false" ht="15" hidden="false" customHeight="false" outlineLevel="0" collapsed="false">
      <c r="A131" s="11" t="n">
        <v>46238</v>
      </c>
      <c r="B131" s="2" t="s">
        <v>64</v>
      </c>
      <c r="C131" s="2" t="s">
        <v>59</v>
      </c>
      <c r="D131" s="2" t="s">
        <v>60</v>
      </c>
      <c r="E131" s="2" t="s">
        <v>61</v>
      </c>
      <c r="F131" s="2" t="s">
        <v>62</v>
      </c>
      <c r="G131" s="2" t="s">
        <v>77</v>
      </c>
      <c r="H131" s="2" t="s">
        <v>75</v>
      </c>
      <c r="I131" s="12" t="n">
        <v>1</v>
      </c>
      <c r="J131" s="12" t="n">
        <f aca="false">IF(COUNTIFS($D$2:$D131,$D131,$A$2:$A131,$A131)=1,1,0)</f>
        <v>1</v>
      </c>
    </row>
    <row r="132" customFormat="false" ht="15" hidden="false" customHeight="false" outlineLevel="0" collapsed="false">
      <c r="A132" s="11" t="n">
        <v>46238</v>
      </c>
      <c r="B132" s="2" t="s">
        <v>58</v>
      </c>
      <c r="C132" s="2" t="s">
        <v>68</v>
      </c>
      <c r="D132" s="2" t="s">
        <v>69</v>
      </c>
      <c r="E132" s="2" t="s">
        <v>70</v>
      </c>
      <c r="F132" s="2" t="s">
        <v>62</v>
      </c>
      <c r="G132" s="2" t="s">
        <v>69</v>
      </c>
      <c r="H132" s="2" t="s">
        <v>63</v>
      </c>
      <c r="I132" s="12" t="n">
        <v>1</v>
      </c>
      <c r="J132" s="12" t="n">
        <f aca="false">IF(COUNTIFS($D$2:$D132,$D132,$A$2:$A132,$A132)=1,1,0)</f>
        <v>1</v>
      </c>
    </row>
    <row r="133" customFormat="false" ht="15" hidden="false" customHeight="false" outlineLevel="0" collapsed="false">
      <c r="A133" s="11" t="n">
        <v>46238</v>
      </c>
      <c r="B133" s="2" t="s">
        <v>64</v>
      </c>
      <c r="C133" s="2" t="s">
        <v>91</v>
      </c>
      <c r="D133" s="2" t="s">
        <v>92</v>
      </c>
      <c r="E133" s="2" t="s">
        <v>93</v>
      </c>
      <c r="F133" s="2" t="s">
        <v>94</v>
      </c>
      <c r="G133" s="2" t="s">
        <v>92</v>
      </c>
      <c r="H133" s="2" t="s">
        <v>63</v>
      </c>
      <c r="I133" s="12" t="n">
        <v>1</v>
      </c>
      <c r="J133" s="12" t="n">
        <f aca="false">IF(COUNTIFS($D$2:$D133,$D133,$A$2:$A133,$A133)=1,1,0)</f>
        <v>1</v>
      </c>
    </row>
    <row r="134" customFormat="false" ht="15" hidden="false" customHeight="false" outlineLevel="0" collapsed="false">
      <c r="A134" s="11" t="n">
        <v>46239</v>
      </c>
      <c r="B134" s="2" t="s">
        <v>64</v>
      </c>
      <c r="C134" s="2" t="s">
        <v>65</v>
      </c>
      <c r="D134" s="2" t="s">
        <v>66</v>
      </c>
      <c r="E134" s="2" t="s">
        <v>67</v>
      </c>
      <c r="F134" s="2" t="s">
        <v>62</v>
      </c>
      <c r="G134" s="2" t="s">
        <v>110</v>
      </c>
      <c r="H134" s="2" t="s">
        <v>75</v>
      </c>
      <c r="I134" s="12" t="n">
        <v>1</v>
      </c>
      <c r="J134" s="12" t="n">
        <f aca="false">IF(COUNTIFS($D$2:$D134,$D134,$A$2:$A134,$A134)=1,1,0)</f>
        <v>1</v>
      </c>
    </row>
    <row r="135" customFormat="false" ht="15" hidden="false" customHeight="false" outlineLevel="0" collapsed="false">
      <c r="A135" s="11" t="n">
        <v>46239</v>
      </c>
      <c r="B135" s="2" t="s">
        <v>64</v>
      </c>
      <c r="C135" s="2" t="s">
        <v>120</v>
      </c>
      <c r="D135" s="2" t="s">
        <v>121</v>
      </c>
      <c r="E135" s="2" t="s">
        <v>122</v>
      </c>
      <c r="F135" s="2" t="s">
        <v>62</v>
      </c>
      <c r="G135" s="2" t="s">
        <v>123</v>
      </c>
      <c r="H135" s="2" t="s">
        <v>75</v>
      </c>
      <c r="I135" s="12" t="n">
        <v>1</v>
      </c>
      <c r="J135" s="12" t="n">
        <f aca="false">IF(COUNTIFS($D$2:$D135,$D135,$A$2:$A135,$A135)=1,1,0)</f>
        <v>1</v>
      </c>
    </row>
    <row r="136" customFormat="false" ht="15" hidden="false" customHeight="false" outlineLevel="0" collapsed="false">
      <c r="A136" s="11" t="n">
        <v>46239</v>
      </c>
      <c r="B136" s="2" t="s">
        <v>64</v>
      </c>
      <c r="C136" s="2" t="s">
        <v>71</v>
      </c>
      <c r="D136" s="2" t="s">
        <v>72</v>
      </c>
      <c r="E136" s="2" t="s">
        <v>73</v>
      </c>
      <c r="F136" s="2" t="s">
        <v>62</v>
      </c>
      <c r="G136" s="2" t="s">
        <v>72</v>
      </c>
      <c r="H136" s="2" t="s">
        <v>63</v>
      </c>
      <c r="I136" s="12" t="n">
        <v>1</v>
      </c>
      <c r="J136" s="12" t="n">
        <f aca="false">IF(COUNTIFS($D$2:$D136,$D136,$A$2:$A136,$A136)=1,1,0)</f>
        <v>1</v>
      </c>
    </row>
    <row r="137" customFormat="false" ht="15" hidden="false" customHeight="false" outlineLevel="0" collapsed="false">
      <c r="A137" s="11" t="n">
        <v>46240</v>
      </c>
      <c r="B137" s="2" t="s">
        <v>64</v>
      </c>
      <c r="C137" s="2" t="s">
        <v>217</v>
      </c>
      <c r="D137" s="2" t="s">
        <v>218</v>
      </c>
      <c r="E137" s="2" t="s">
        <v>219</v>
      </c>
      <c r="F137" s="2" t="s">
        <v>109</v>
      </c>
      <c r="G137" s="2" t="s">
        <v>218</v>
      </c>
      <c r="H137" s="2" t="s">
        <v>63</v>
      </c>
      <c r="I137" s="12" t="n">
        <v>1</v>
      </c>
      <c r="J137" s="12" t="n">
        <f aca="false">IF(COUNTIFS($D$2:$D137,$D137,$A$2:$A137,$A137)=1,1,0)</f>
        <v>1</v>
      </c>
    </row>
    <row r="138" customFormat="false" ht="15" hidden="false" customHeight="false" outlineLevel="0" collapsed="false">
      <c r="A138" s="11" t="n">
        <v>46241</v>
      </c>
      <c r="B138" s="2" t="s">
        <v>64</v>
      </c>
      <c r="C138" s="2" t="s">
        <v>120</v>
      </c>
      <c r="D138" s="2" t="s">
        <v>121</v>
      </c>
      <c r="E138" s="2" t="s">
        <v>122</v>
      </c>
      <c r="F138" s="2" t="s">
        <v>62</v>
      </c>
      <c r="G138" s="2" t="s">
        <v>123</v>
      </c>
      <c r="H138" s="2" t="s">
        <v>75</v>
      </c>
      <c r="I138" s="12" t="n">
        <v>1</v>
      </c>
      <c r="J138" s="12" t="n">
        <f aca="false">IF(COUNTIFS($D$2:$D138,$D138,$A$2:$A138,$A138)=1,1,0)</f>
        <v>1</v>
      </c>
    </row>
    <row r="139" customFormat="false" ht="15" hidden="false" customHeight="false" outlineLevel="0" collapsed="false">
      <c r="A139" s="11" t="n">
        <v>46241</v>
      </c>
      <c r="B139" s="2" t="s">
        <v>64</v>
      </c>
      <c r="C139" s="2" t="s">
        <v>180</v>
      </c>
      <c r="D139" s="2" t="s">
        <v>181</v>
      </c>
      <c r="E139" s="2" t="s">
        <v>182</v>
      </c>
      <c r="F139" s="2" t="s">
        <v>62</v>
      </c>
      <c r="G139" s="2" t="s">
        <v>183</v>
      </c>
      <c r="H139" s="2" t="s">
        <v>75</v>
      </c>
      <c r="I139" s="12" t="n">
        <v>1</v>
      </c>
      <c r="J139" s="12" t="n">
        <f aca="false">IF(COUNTIFS($D$2:$D139,$D139,$A$2:$A139,$A139)=1,1,0)</f>
        <v>1</v>
      </c>
    </row>
    <row r="140" customFormat="false" ht="15" hidden="false" customHeight="false" outlineLevel="0" collapsed="false">
      <c r="A140" s="11" t="n">
        <v>46242</v>
      </c>
      <c r="B140" s="2" t="s">
        <v>64</v>
      </c>
      <c r="C140" s="2" t="s">
        <v>99</v>
      </c>
      <c r="D140" s="2" t="s">
        <v>100</v>
      </c>
      <c r="E140" s="2" t="s">
        <v>101</v>
      </c>
      <c r="F140" s="2" t="s">
        <v>94</v>
      </c>
      <c r="G140" s="2" t="s">
        <v>100</v>
      </c>
      <c r="H140" s="2" t="s">
        <v>63</v>
      </c>
      <c r="I140" s="12" t="n">
        <v>1</v>
      </c>
      <c r="J140" s="12" t="n">
        <f aca="false">IF(COUNTIFS($D$2:$D140,$D140,$A$2:$A140,$A140)=1,1,0)</f>
        <v>1</v>
      </c>
    </row>
    <row r="141" customFormat="false" ht="15" hidden="false" customHeight="false" outlineLevel="0" collapsed="false">
      <c r="A141" s="11" t="n">
        <v>46242</v>
      </c>
      <c r="B141" s="2" t="s">
        <v>64</v>
      </c>
      <c r="C141" s="2" t="s">
        <v>120</v>
      </c>
      <c r="D141" s="2" t="s">
        <v>121</v>
      </c>
      <c r="E141" s="2" t="s">
        <v>122</v>
      </c>
      <c r="F141" s="2" t="s">
        <v>62</v>
      </c>
      <c r="G141" s="2" t="s">
        <v>123</v>
      </c>
      <c r="H141" s="2" t="s">
        <v>75</v>
      </c>
      <c r="I141" s="12" t="n">
        <v>1</v>
      </c>
      <c r="J141" s="12" t="n">
        <f aca="false">IF(COUNTIFS($D$2:$D141,$D141,$A$2:$A141,$A141)=1,1,0)</f>
        <v>1</v>
      </c>
    </row>
    <row r="142" customFormat="false" ht="15" hidden="false" customHeight="false" outlineLevel="0" collapsed="false">
      <c r="A142" s="11" t="n">
        <v>46242</v>
      </c>
      <c r="B142" s="2" t="s">
        <v>64</v>
      </c>
      <c r="C142" s="2" t="s">
        <v>112</v>
      </c>
      <c r="D142" s="2" t="s">
        <v>113</v>
      </c>
      <c r="E142" s="2" t="s">
        <v>114</v>
      </c>
      <c r="F142" s="2" t="s">
        <v>62</v>
      </c>
      <c r="G142" s="2" t="s">
        <v>115</v>
      </c>
      <c r="H142" s="2" t="s">
        <v>75</v>
      </c>
      <c r="I142" s="12" t="n">
        <v>1</v>
      </c>
      <c r="J142" s="12" t="n">
        <f aca="false">IF(COUNTIFS($D$2:$D142,$D142,$A$2:$A142,$A142)=1,1,0)</f>
        <v>1</v>
      </c>
    </row>
    <row r="143" customFormat="false" ht="15" hidden="false" customHeight="false" outlineLevel="0" collapsed="false">
      <c r="A143" s="11" t="n">
        <v>46242</v>
      </c>
      <c r="B143" s="2" t="s">
        <v>64</v>
      </c>
      <c r="C143" s="2" t="s">
        <v>78</v>
      </c>
      <c r="D143" s="2" t="s">
        <v>79</v>
      </c>
      <c r="E143" s="2" t="s">
        <v>80</v>
      </c>
      <c r="F143" s="2" t="s">
        <v>62</v>
      </c>
      <c r="G143" s="2" t="s">
        <v>81</v>
      </c>
      <c r="H143" s="2" t="s">
        <v>75</v>
      </c>
      <c r="I143" s="12" t="n">
        <v>1</v>
      </c>
      <c r="J143" s="12" t="n">
        <f aca="false">IF(COUNTIFS($D$2:$D143,$D143,$A$2:$A143,$A143)=1,1,0)</f>
        <v>1</v>
      </c>
    </row>
    <row r="144" customFormat="false" ht="15" hidden="false" customHeight="false" outlineLevel="0" collapsed="false">
      <c r="A144" s="11" t="n">
        <v>46242</v>
      </c>
      <c r="B144" s="2" t="s">
        <v>64</v>
      </c>
      <c r="C144" s="2" t="s">
        <v>102</v>
      </c>
      <c r="D144" s="2" t="s">
        <v>103</v>
      </c>
      <c r="E144" s="2" t="s">
        <v>104</v>
      </c>
      <c r="F144" s="2" t="s">
        <v>94</v>
      </c>
      <c r="G144" s="2" t="s">
        <v>220</v>
      </c>
      <c r="H144" s="2" t="s">
        <v>75</v>
      </c>
      <c r="I144" s="12" t="n">
        <v>1</v>
      </c>
      <c r="J144" s="12" t="n">
        <f aca="false">IF(COUNTIFS($D$2:$D144,$D144,$A$2:$A144,$A144)=1,1,0)</f>
        <v>1</v>
      </c>
    </row>
    <row r="145" customFormat="false" ht="15" hidden="false" customHeight="false" outlineLevel="0" collapsed="false">
      <c r="A145" s="11" t="n">
        <v>46243</v>
      </c>
      <c r="B145" s="2" t="s">
        <v>64</v>
      </c>
      <c r="C145" s="2" t="s">
        <v>71</v>
      </c>
      <c r="D145" s="2" t="s">
        <v>72</v>
      </c>
      <c r="E145" s="2" t="s">
        <v>73</v>
      </c>
      <c r="F145" s="2" t="s">
        <v>62</v>
      </c>
      <c r="G145" s="2" t="s">
        <v>76</v>
      </c>
      <c r="H145" s="2" t="s">
        <v>75</v>
      </c>
      <c r="I145" s="12" t="n">
        <v>1</v>
      </c>
      <c r="J145" s="12" t="n">
        <f aca="false">IF(COUNTIFS($D$2:$D145,$D145,$A$2:$A145,$A145)=1,1,0)</f>
        <v>1</v>
      </c>
    </row>
    <row r="146" customFormat="false" ht="15" hidden="false" customHeight="false" outlineLevel="0" collapsed="false">
      <c r="A146" s="11" t="n">
        <v>46243</v>
      </c>
      <c r="B146" s="2" t="s">
        <v>58</v>
      </c>
      <c r="C146" s="2" t="s">
        <v>68</v>
      </c>
      <c r="D146" s="2" t="s">
        <v>69</v>
      </c>
      <c r="E146" s="2" t="s">
        <v>70</v>
      </c>
      <c r="F146" s="2" t="s">
        <v>62</v>
      </c>
      <c r="G146" s="2" t="s">
        <v>69</v>
      </c>
      <c r="H146" s="2" t="s">
        <v>63</v>
      </c>
      <c r="I146" s="12" t="n">
        <v>1</v>
      </c>
      <c r="J146" s="12" t="n">
        <f aca="false">IF(COUNTIFS($D$2:$D146,$D146,$A$2:$A146,$A146)=1,1,0)</f>
        <v>1</v>
      </c>
    </row>
    <row r="147" customFormat="false" ht="15" hidden="false" customHeight="false" outlineLevel="0" collapsed="false">
      <c r="A147" s="11" t="n">
        <v>46243</v>
      </c>
      <c r="B147" s="2" t="s">
        <v>64</v>
      </c>
      <c r="C147" s="2" t="s">
        <v>221</v>
      </c>
      <c r="D147" s="2" t="s">
        <v>222</v>
      </c>
      <c r="E147" s="2" t="s">
        <v>223</v>
      </c>
      <c r="F147" s="2" t="s">
        <v>62</v>
      </c>
      <c r="G147" s="2" t="s">
        <v>224</v>
      </c>
      <c r="H147" s="2" t="s">
        <v>75</v>
      </c>
      <c r="I147" s="12" t="n">
        <v>1</v>
      </c>
      <c r="J147" s="12" t="n">
        <f aca="false">IF(COUNTIFS($D$2:$D147,$D147,$A$2:$A147,$A147)=1,1,0)</f>
        <v>1</v>
      </c>
    </row>
    <row r="148" customFormat="false" ht="15" hidden="false" customHeight="false" outlineLevel="0" collapsed="false">
      <c r="A148" s="11" t="n">
        <v>46244</v>
      </c>
      <c r="B148" s="2" t="s">
        <v>64</v>
      </c>
      <c r="C148" s="2" t="s">
        <v>145</v>
      </c>
      <c r="D148" s="2" t="s">
        <v>146</v>
      </c>
      <c r="E148" s="2" t="s">
        <v>134</v>
      </c>
      <c r="F148" s="2" t="s">
        <v>147</v>
      </c>
      <c r="G148" s="2" t="s">
        <v>146</v>
      </c>
      <c r="H148" s="2" t="s">
        <v>63</v>
      </c>
      <c r="I148" s="12" t="n">
        <v>1</v>
      </c>
      <c r="J148" s="12" t="n">
        <f aca="false">IF(COUNTIFS($D$2:$D148,$D148,$A$2:$A148,$A148)=1,1,0)</f>
        <v>1</v>
      </c>
    </row>
    <row r="149" customFormat="false" ht="15" hidden="false" customHeight="false" outlineLevel="0" collapsed="false">
      <c r="A149" s="11" t="n">
        <v>46244</v>
      </c>
      <c r="B149" s="2" t="s">
        <v>98</v>
      </c>
      <c r="C149" s="2" t="s">
        <v>145</v>
      </c>
      <c r="D149" s="2" t="s">
        <v>146</v>
      </c>
      <c r="E149" s="2" t="s">
        <v>134</v>
      </c>
      <c r="F149" s="2" t="s">
        <v>147</v>
      </c>
      <c r="G149" s="2" t="s">
        <v>146</v>
      </c>
      <c r="H149" s="2" t="s">
        <v>63</v>
      </c>
      <c r="I149" s="12" t="n">
        <v>1</v>
      </c>
      <c r="J149" s="12" t="n">
        <f aca="false">IF(COUNTIFS($D$2:$D149,$D149,$A$2:$A149,$A149)=1,1,0)</f>
        <v>0</v>
      </c>
    </row>
    <row r="150" customFormat="false" ht="15" hidden="false" customHeight="false" outlineLevel="0" collapsed="false">
      <c r="A150" s="11" t="n">
        <v>46244</v>
      </c>
      <c r="B150" s="2" t="s">
        <v>98</v>
      </c>
      <c r="C150" s="2" t="s">
        <v>225</v>
      </c>
      <c r="D150" s="2" t="s">
        <v>226</v>
      </c>
      <c r="E150" s="2" t="s">
        <v>227</v>
      </c>
      <c r="F150" s="2" t="s">
        <v>94</v>
      </c>
      <c r="G150" s="2" t="s">
        <v>226</v>
      </c>
      <c r="H150" s="2" t="s">
        <v>63</v>
      </c>
      <c r="I150" s="12" t="n">
        <v>1</v>
      </c>
      <c r="J150" s="12" t="n">
        <f aca="false">IF(COUNTIFS($D$2:$D150,$D150,$A$2:$A150,$A150)=1,1,0)</f>
        <v>1</v>
      </c>
    </row>
    <row r="151" customFormat="false" ht="15" hidden="false" customHeight="false" outlineLevel="0" collapsed="false">
      <c r="A151" s="11" t="n">
        <v>46244</v>
      </c>
      <c r="B151" s="2" t="s">
        <v>64</v>
      </c>
      <c r="C151" s="2" t="s">
        <v>128</v>
      </c>
      <c r="D151" s="2" t="s">
        <v>129</v>
      </c>
      <c r="E151" s="2" t="s">
        <v>130</v>
      </c>
      <c r="F151" s="2" t="s">
        <v>109</v>
      </c>
      <c r="G151" s="2" t="s">
        <v>131</v>
      </c>
      <c r="H151" s="2" t="s">
        <v>75</v>
      </c>
      <c r="I151" s="12" t="n">
        <v>1</v>
      </c>
      <c r="J151" s="12" t="n">
        <f aca="false">IF(COUNTIFS($D$2:$D151,$D151,$A$2:$A151,$A151)=1,1,0)</f>
        <v>1</v>
      </c>
    </row>
    <row r="152" customFormat="false" ht="15" hidden="false" customHeight="false" outlineLevel="0" collapsed="false">
      <c r="A152" s="11" t="n">
        <v>46244</v>
      </c>
      <c r="B152" s="2" t="s">
        <v>64</v>
      </c>
      <c r="C152" s="2" t="s">
        <v>206</v>
      </c>
      <c r="D152" s="2" t="s">
        <v>207</v>
      </c>
      <c r="E152" s="2" t="s">
        <v>208</v>
      </c>
      <c r="F152" s="2" t="s">
        <v>94</v>
      </c>
      <c r="G152" s="2" t="s">
        <v>207</v>
      </c>
      <c r="H152" s="2" t="s">
        <v>63</v>
      </c>
      <c r="I152" s="12" t="n">
        <v>1</v>
      </c>
      <c r="J152" s="12" t="n">
        <f aca="false">IF(COUNTIFS($D$2:$D152,$D152,$A$2:$A152,$A152)=1,1,0)</f>
        <v>1</v>
      </c>
    </row>
    <row r="153" customFormat="false" ht="15" hidden="false" customHeight="false" outlineLevel="0" collapsed="false">
      <c r="A153" s="11" t="n">
        <v>46244</v>
      </c>
      <c r="B153" s="2" t="s">
        <v>64</v>
      </c>
      <c r="C153" s="2" t="s">
        <v>65</v>
      </c>
      <c r="D153" s="2" t="s">
        <v>66</v>
      </c>
      <c r="E153" s="2" t="s">
        <v>67</v>
      </c>
      <c r="F153" s="2" t="s">
        <v>62</v>
      </c>
      <c r="G153" s="2" t="s">
        <v>110</v>
      </c>
      <c r="H153" s="2" t="s">
        <v>75</v>
      </c>
      <c r="I153" s="12" t="n">
        <v>2</v>
      </c>
      <c r="J153" s="12" t="n">
        <f aca="false">IF(COUNTIFS($D$2:$D153,$D153,$A$2:$A153,$A153)=1,1,0)</f>
        <v>1</v>
      </c>
    </row>
    <row r="154" customFormat="false" ht="15" hidden="false" customHeight="false" outlineLevel="0" collapsed="false">
      <c r="A154" s="11" t="n">
        <v>46244</v>
      </c>
      <c r="B154" s="2" t="s">
        <v>64</v>
      </c>
      <c r="C154" s="2" t="s">
        <v>228</v>
      </c>
      <c r="D154" s="2" t="s">
        <v>229</v>
      </c>
      <c r="E154" s="2" t="s">
        <v>230</v>
      </c>
      <c r="F154" s="2" t="s">
        <v>62</v>
      </c>
      <c r="G154" s="2" t="s">
        <v>231</v>
      </c>
      <c r="H154" s="2" t="s">
        <v>75</v>
      </c>
      <c r="I154" s="12" t="n">
        <v>1</v>
      </c>
      <c r="J154" s="12" t="n">
        <f aca="false">IF(COUNTIFS($D$2:$D154,$D154,$A$2:$A154,$A154)=1,1,0)</f>
        <v>1</v>
      </c>
    </row>
    <row r="155" customFormat="false" ht="15" hidden="false" customHeight="false" outlineLevel="0" collapsed="false">
      <c r="A155" s="11" t="n">
        <v>46244</v>
      </c>
      <c r="B155" s="2" t="s">
        <v>64</v>
      </c>
      <c r="C155" s="2" t="s">
        <v>232</v>
      </c>
      <c r="D155" s="2" t="s">
        <v>233</v>
      </c>
      <c r="E155" s="2" t="s">
        <v>234</v>
      </c>
      <c r="F155" s="2" t="s">
        <v>62</v>
      </c>
      <c r="G155" s="2" t="s">
        <v>235</v>
      </c>
      <c r="H155" s="2" t="s">
        <v>75</v>
      </c>
      <c r="I155" s="12" t="n">
        <v>1</v>
      </c>
      <c r="J155" s="12" t="n">
        <f aca="false">IF(COUNTIFS($D$2:$D155,$D155,$A$2:$A155,$A155)=1,1,0)</f>
        <v>1</v>
      </c>
    </row>
    <row r="156" customFormat="false" ht="15" hidden="false" customHeight="false" outlineLevel="0" collapsed="false">
      <c r="A156" s="11" t="n">
        <v>46244</v>
      </c>
      <c r="B156" s="2" t="s">
        <v>64</v>
      </c>
      <c r="C156" s="2" t="s">
        <v>59</v>
      </c>
      <c r="D156" s="2" t="s">
        <v>60</v>
      </c>
      <c r="E156" s="2" t="s">
        <v>61</v>
      </c>
      <c r="F156" s="2" t="s">
        <v>62</v>
      </c>
      <c r="G156" s="2" t="s">
        <v>77</v>
      </c>
      <c r="H156" s="2" t="s">
        <v>75</v>
      </c>
      <c r="I156" s="12" t="n">
        <v>2</v>
      </c>
      <c r="J156" s="12" t="n">
        <f aca="false">IF(COUNTIFS($D$2:$D156,$D156,$A$2:$A156,$A156)=1,1,0)</f>
        <v>1</v>
      </c>
    </row>
    <row r="157" customFormat="false" ht="15" hidden="false" customHeight="false" outlineLevel="0" collapsed="false">
      <c r="A157" s="11" t="n">
        <v>46244</v>
      </c>
      <c r="B157" s="2" t="s">
        <v>64</v>
      </c>
      <c r="C157" s="2" t="s">
        <v>236</v>
      </c>
      <c r="D157" s="2" t="s">
        <v>237</v>
      </c>
      <c r="E157" s="2" t="s">
        <v>238</v>
      </c>
      <c r="F157" s="2" t="s">
        <v>62</v>
      </c>
      <c r="G157" s="2" t="s">
        <v>237</v>
      </c>
      <c r="H157" s="2" t="s">
        <v>63</v>
      </c>
      <c r="I157" s="12" t="n">
        <v>1</v>
      </c>
      <c r="J157" s="12" t="n">
        <f aca="false">IF(COUNTIFS($D$2:$D157,$D157,$A$2:$A157,$A157)=1,1,0)</f>
        <v>1</v>
      </c>
    </row>
    <row r="158" customFormat="false" ht="15" hidden="false" customHeight="false" outlineLevel="0" collapsed="false">
      <c r="A158" s="11" t="n">
        <v>46244</v>
      </c>
      <c r="B158" s="2" t="s">
        <v>64</v>
      </c>
      <c r="C158" s="2" t="s">
        <v>78</v>
      </c>
      <c r="D158" s="2" t="s">
        <v>79</v>
      </c>
      <c r="E158" s="2" t="s">
        <v>80</v>
      </c>
      <c r="F158" s="2" t="s">
        <v>62</v>
      </c>
      <c r="G158" s="2" t="s">
        <v>81</v>
      </c>
      <c r="H158" s="2" t="s">
        <v>75</v>
      </c>
      <c r="I158" s="12" t="n">
        <v>1</v>
      </c>
      <c r="J158" s="12" t="n">
        <f aca="false">IF(COUNTIFS($D$2:$D158,$D158,$A$2:$A158,$A158)=1,1,0)</f>
        <v>1</v>
      </c>
    </row>
    <row r="159" customFormat="false" ht="15" hidden="false" customHeight="false" outlineLevel="0" collapsed="false">
      <c r="A159" s="11" t="n">
        <v>46244</v>
      </c>
      <c r="B159" s="2" t="s">
        <v>64</v>
      </c>
      <c r="C159" s="2" t="s">
        <v>91</v>
      </c>
      <c r="D159" s="2" t="s">
        <v>92</v>
      </c>
      <c r="E159" s="2" t="s">
        <v>93</v>
      </c>
      <c r="F159" s="2" t="s">
        <v>94</v>
      </c>
      <c r="G159" s="2" t="s">
        <v>92</v>
      </c>
      <c r="H159" s="2" t="s">
        <v>63</v>
      </c>
      <c r="I159" s="12" t="n">
        <v>1</v>
      </c>
      <c r="J159" s="12" t="n">
        <f aca="false">IF(COUNTIFS($D$2:$D159,$D159,$A$2:$A159,$A159)=1,1,0)</f>
        <v>1</v>
      </c>
    </row>
    <row r="160" customFormat="false" ht="15" hidden="false" customHeight="false" outlineLevel="0" collapsed="false">
      <c r="A160" s="11" t="n">
        <v>46245</v>
      </c>
      <c r="B160" s="2" t="s">
        <v>64</v>
      </c>
      <c r="C160" s="2" t="s">
        <v>167</v>
      </c>
      <c r="D160" s="2" t="s">
        <v>168</v>
      </c>
      <c r="E160" s="2" t="s">
        <v>169</v>
      </c>
      <c r="F160" s="2" t="s">
        <v>62</v>
      </c>
      <c r="G160" s="2" t="s">
        <v>170</v>
      </c>
      <c r="H160" s="2" t="s">
        <v>75</v>
      </c>
      <c r="I160" s="12" t="n">
        <v>1</v>
      </c>
      <c r="J160" s="12" t="n">
        <f aca="false">IF(COUNTIFS($D$2:$D160,$D160,$A$2:$A160,$A160)=1,1,0)</f>
        <v>1</v>
      </c>
    </row>
    <row r="161" customFormat="false" ht="15" hidden="false" customHeight="false" outlineLevel="0" collapsed="false">
      <c r="A161" s="11" t="n">
        <v>46245</v>
      </c>
      <c r="B161" s="2" t="s">
        <v>64</v>
      </c>
      <c r="C161" s="2" t="s">
        <v>167</v>
      </c>
      <c r="D161" s="2" t="s">
        <v>168</v>
      </c>
      <c r="E161" s="2" t="s">
        <v>169</v>
      </c>
      <c r="F161" s="2" t="s">
        <v>62</v>
      </c>
      <c r="G161" s="2" t="s">
        <v>168</v>
      </c>
      <c r="H161" s="2" t="s">
        <v>63</v>
      </c>
      <c r="I161" s="12" t="n">
        <v>1</v>
      </c>
      <c r="J161" s="12" t="n">
        <f aca="false">IF(COUNTIFS($D$2:$D161,$D161,$A$2:$A161,$A161)=1,1,0)</f>
        <v>0</v>
      </c>
    </row>
    <row r="162" customFormat="false" ht="15" hidden="false" customHeight="false" outlineLevel="0" collapsed="false">
      <c r="A162" s="11" t="n">
        <v>46245</v>
      </c>
      <c r="B162" s="2" t="s">
        <v>64</v>
      </c>
      <c r="C162" s="2" t="s">
        <v>239</v>
      </c>
      <c r="D162" s="2" t="s">
        <v>240</v>
      </c>
      <c r="E162" s="2" t="s">
        <v>241</v>
      </c>
      <c r="F162" s="2" t="s">
        <v>62</v>
      </c>
      <c r="G162" s="2" t="s">
        <v>242</v>
      </c>
      <c r="H162" s="2" t="s">
        <v>75</v>
      </c>
      <c r="I162" s="12" t="n">
        <v>1</v>
      </c>
      <c r="J162" s="12" t="n">
        <f aca="false">IF(COUNTIFS($D$2:$D162,$D162,$A$2:$A162,$A162)=1,1,0)</f>
        <v>1</v>
      </c>
    </row>
    <row r="163" customFormat="false" ht="15" hidden="false" customHeight="false" outlineLevel="0" collapsed="false">
      <c r="A163" s="11" t="n">
        <v>46245</v>
      </c>
      <c r="B163" s="2" t="s">
        <v>64</v>
      </c>
      <c r="C163" s="2" t="s">
        <v>65</v>
      </c>
      <c r="D163" s="2" t="s">
        <v>66</v>
      </c>
      <c r="E163" s="2" t="s">
        <v>67</v>
      </c>
      <c r="F163" s="2" t="s">
        <v>62</v>
      </c>
      <c r="G163" s="2" t="s">
        <v>243</v>
      </c>
      <c r="H163" s="2" t="s">
        <v>75</v>
      </c>
      <c r="I163" s="12" t="n">
        <v>1</v>
      </c>
      <c r="J163" s="12" t="n">
        <f aca="false">IF(COUNTIFS($D$2:$D163,$D163,$A$2:$A163,$A163)=1,1,0)</f>
        <v>1</v>
      </c>
    </row>
    <row r="164" customFormat="false" ht="15" hidden="false" customHeight="false" outlineLevel="0" collapsed="false">
      <c r="A164" s="11" t="n">
        <v>46245</v>
      </c>
      <c r="B164" s="2" t="s">
        <v>64</v>
      </c>
      <c r="C164" s="2" t="s">
        <v>65</v>
      </c>
      <c r="D164" s="2" t="s">
        <v>66</v>
      </c>
      <c r="E164" s="2" t="s">
        <v>67</v>
      </c>
      <c r="F164" s="2" t="s">
        <v>62</v>
      </c>
      <c r="G164" s="2" t="s">
        <v>110</v>
      </c>
      <c r="H164" s="2" t="s">
        <v>75</v>
      </c>
      <c r="I164" s="12" t="n">
        <v>1</v>
      </c>
      <c r="J164" s="12" t="n">
        <f aca="false">IF(COUNTIFS($D$2:$D164,$D164,$A$2:$A164,$A164)=1,1,0)</f>
        <v>0</v>
      </c>
    </row>
    <row r="165" customFormat="false" ht="15" hidden="false" customHeight="false" outlineLevel="0" collapsed="false">
      <c r="A165" s="11" t="n">
        <v>46245</v>
      </c>
      <c r="B165" s="2" t="s">
        <v>64</v>
      </c>
      <c r="C165" s="2" t="s">
        <v>124</v>
      </c>
      <c r="D165" s="2" t="s">
        <v>125</v>
      </c>
      <c r="E165" s="2" t="s">
        <v>126</v>
      </c>
      <c r="F165" s="2" t="s">
        <v>62</v>
      </c>
      <c r="G165" s="2" t="s">
        <v>125</v>
      </c>
      <c r="H165" s="2" t="s">
        <v>63</v>
      </c>
      <c r="I165" s="12" t="n">
        <v>1</v>
      </c>
      <c r="J165" s="12" t="n">
        <f aca="false">IF(COUNTIFS($D$2:$D165,$D165,$A$2:$A165,$A165)=1,1,0)</f>
        <v>1</v>
      </c>
    </row>
    <row r="166" customFormat="false" ht="15" hidden="false" customHeight="false" outlineLevel="0" collapsed="false">
      <c r="A166" s="11" t="n">
        <v>46245</v>
      </c>
      <c r="B166" s="2" t="s">
        <v>64</v>
      </c>
      <c r="C166" s="2" t="s">
        <v>71</v>
      </c>
      <c r="D166" s="2" t="s">
        <v>72</v>
      </c>
      <c r="E166" s="2" t="s">
        <v>73</v>
      </c>
      <c r="F166" s="2" t="s">
        <v>62</v>
      </c>
      <c r="G166" s="2" t="s">
        <v>76</v>
      </c>
      <c r="H166" s="2" t="s">
        <v>75</v>
      </c>
      <c r="I166" s="12" t="n">
        <v>1</v>
      </c>
      <c r="J166" s="12" t="n">
        <f aca="false">IF(COUNTIFS($D$2:$D166,$D166,$A$2:$A166,$A166)=1,1,0)</f>
        <v>1</v>
      </c>
    </row>
    <row r="167" customFormat="false" ht="15" hidden="false" customHeight="false" outlineLevel="0" collapsed="false">
      <c r="A167" s="11" t="n">
        <v>46245</v>
      </c>
      <c r="B167" s="2" t="s">
        <v>64</v>
      </c>
      <c r="C167" s="2" t="s">
        <v>78</v>
      </c>
      <c r="D167" s="2" t="s">
        <v>79</v>
      </c>
      <c r="E167" s="2" t="s">
        <v>80</v>
      </c>
      <c r="F167" s="2" t="s">
        <v>62</v>
      </c>
      <c r="G167" s="2" t="s">
        <v>81</v>
      </c>
      <c r="H167" s="2" t="s">
        <v>75</v>
      </c>
      <c r="I167" s="12" t="n">
        <v>1</v>
      </c>
      <c r="J167" s="12" t="n">
        <f aca="false">IF(COUNTIFS($D$2:$D167,$D167,$A$2:$A167,$A167)=1,1,0)</f>
        <v>1</v>
      </c>
    </row>
    <row r="168" customFormat="false" ht="15" hidden="false" customHeight="false" outlineLevel="0" collapsed="false">
      <c r="A168" s="11" t="n">
        <v>46245</v>
      </c>
      <c r="B168" s="2" t="s">
        <v>64</v>
      </c>
      <c r="C168" s="2" t="s">
        <v>244</v>
      </c>
      <c r="D168" s="2" t="s">
        <v>245</v>
      </c>
      <c r="E168" s="2" t="s">
        <v>246</v>
      </c>
      <c r="F168" s="2" t="s">
        <v>62</v>
      </c>
      <c r="G168" s="2" t="s">
        <v>247</v>
      </c>
      <c r="H168" s="2" t="s">
        <v>75</v>
      </c>
      <c r="I168" s="12" t="n">
        <v>1</v>
      </c>
      <c r="J168" s="12" t="n">
        <f aca="false">IF(COUNTIFS($D$2:$D168,$D168,$A$2:$A168,$A168)=1,1,0)</f>
        <v>1</v>
      </c>
    </row>
    <row r="169" customFormat="false" ht="15" hidden="false" customHeight="false" outlineLevel="0" collapsed="false">
      <c r="A169" s="11" t="n">
        <v>46245</v>
      </c>
      <c r="B169" s="2" t="s">
        <v>64</v>
      </c>
      <c r="C169" s="2" t="s">
        <v>248</v>
      </c>
      <c r="D169" s="2" t="s">
        <v>249</v>
      </c>
      <c r="E169" s="2" t="s">
        <v>250</v>
      </c>
      <c r="F169" s="2" t="s">
        <v>62</v>
      </c>
      <c r="G169" s="2" t="s">
        <v>251</v>
      </c>
      <c r="H169" s="2" t="s">
        <v>75</v>
      </c>
      <c r="I169" s="12" t="n">
        <v>1</v>
      </c>
      <c r="J169" s="12" t="n">
        <f aca="false">IF(COUNTIFS($D$2:$D169,$D169,$A$2:$A169,$A169)=1,1,0)</f>
        <v>1</v>
      </c>
    </row>
    <row r="170" customFormat="false" ht="15" hidden="false" customHeight="false" outlineLevel="0" collapsed="false">
      <c r="A170" s="11" t="n">
        <v>46245</v>
      </c>
      <c r="B170" s="2" t="s">
        <v>64</v>
      </c>
      <c r="C170" s="2" t="s">
        <v>221</v>
      </c>
      <c r="D170" s="2" t="s">
        <v>222</v>
      </c>
      <c r="E170" s="2" t="s">
        <v>223</v>
      </c>
      <c r="F170" s="2" t="s">
        <v>62</v>
      </c>
      <c r="G170" s="2" t="s">
        <v>224</v>
      </c>
      <c r="H170" s="2" t="s">
        <v>75</v>
      </c>
      <c r="I170" s="12" t="n">
        <v>1</v>
      </c>
      <c r="J170" s="12" t="n">
        <f aca="false">IF(COUNTIFS($D$2:$D170,$D170,$A$2:$A170,$A170)=1,1,0)</f>
        <v>1</v>
      </c>
    </row>
    <row r="171" customFormat="false" ht="15" hidden="false" customHeight="false" outlineLevel="0" collapsed="false">
      <c r="A171" s="11" t="n">
        <v>46246</v>
      </c>
      <c r="B171" s="2" t="s">
        <v>64</v>
      </c>
      <c r="C171" s="2" t="s">
        <v>128</v>
      </c>
      <c r="D171" s="2" t="s">
        <v>129</v>
      </c>
      <c r="E171" s="2" t="s">
        <v>130</v>
      </c>
      <c r="F171" s="2" t="s">
        <v>109</v>
      </c>
      <c r="G171" s="2" t="s">
        <v>131</v>
      </c>
      <c r="H171" s="2" t="s">
        <v>75</v>
      </c>
      <c r="I171" s="12" t="n">
        <v>2</v>
      </c>
      <c r="J171" s="12" t="n">
        <f aca="false">IF(COUNTIFS($D$2:$D171,$D171,$A$2:$A171,$A171)=1,1,0)</f>
        <v>1</v>
      </c>
    </row>
    <row r="172" customFormat="false" ht="15" hidden="false" customHeight="false" outlineLevel="0" collapsed="false">
      <c r="A172" s="11" t="n">
        <v>46246</v>
      </c>
      <c r="B172" s="2" t="s">
        <v>64</v>
      </c>
      <c r="C172" s="2" t="s">
        <v>252</v>
      </c>
      <c r="D172" s="2" t="s">
        <v>253</v>
      </c>
      <c r="E172" s="2" t="s">
        <v>254</v>
      </c>
      <c r="F172" s="2" t="s">
        <v>62</v>
      </c>
      <c r="G172" s="2" t="s">
        <v>255</v>
      </c>
      <c r="H172" s="2" t="s">
        <v>75</v>
      </c>
      <c r="I172" s="12" t="n">
        <v>1</v>
      </c>
      <c r="J172" s="12" t="n">
        <f aca="false">IF(COUNTIFS($D$2:$D172,$D172,$A$2:$A172,$A172)=1,1,0)</f>
        <v>1</v>
      </c>
    </row>
    <row r="173" customFormat="false" ht="15" hidden="false" customHeight="false" outlineLevel="0" collapsed="false">
      <c r="A173" s="11" t="n">
        <v>46246</v>
      </c>
      <c r="B173" s="2" t="s">
        <v>64</v>
      </c>
      <c r="C173" s="2" t="s">
        <v>167</v>
      </c>
      <c r="D173" s="2" t="s">
        <v>168</v>
      </c>
      <c r="E173" s="2" t="s">
        <v>169</v>
      </c>
      <c r="F173" s="2" t="s">
        <v>62</v>
      </c>
      <c r="G173" s="2" t="s">
        <v>170</v>
      </c>
      <c r="H173" s="2" t="s">
        <v>75</v>
      </c>
      <c r="I173" s="12" t="n">
        <v>1</v>
      </c>
      <c r="J173" s="12" t="n">
        <f aca="false">IF(COUNTIFS($D$2:$D173,$D173,$A$2:$A173,$A173)=1,1,0)</f>
        <v>1</v>
      </c>
    </row>
    <row r="174" customFormat="false" ht="15" hidden="false" customHeight="false" outlineLevel="0" collapsed="false">
      <c r="A174" s="11" t="n">
        <v>46246</v>
      </c>
      <c r="B174" s="2" t="s">
        <v>64</v>
      </c>
      <c r="C174" s="2" t="s">
        <v>199</v>
      </c>
      <c r="D174" s="2" t="s">
        <v>200</v>
      </c>
      <c r="E174" s="2" t="s">
        <v>201</v>
      </c>
      <c r="F174" s="2" t="s">
        <v>62</v>
      </c>
      <c r="G174" s="2" t="s">
        <v>200</v>
      </c>
      <c r="H174" s="2" t="s">
        <v>63</v>
      </c>
      <c r="I174" s="12" t="n">
        <v>1</v>
      </c>
      <c r="J174" s="12" t="n">
        <f aca="false">IF(COUNTIFS($D$2:$D174,$D174,$A$2:$A174,$A174)=1,1,0)</f>
        <v>1</v>
      </c>
    </row>
    <row r="175" customFormat="false" ht="15" hidden="false" customHeight="false" outlineLevel="0" collapsed="false">
      <c r="A175" s="11" t="n">
        <v>46246</v>
      </c>
      <c r="B175" s="2" t="s">
        <v>64</v>
      </c>
      <c r="C175" s="2" t="s">
        <v>112</v>
      </c>
      <c r="D175" s="2" t="s">
        <v>113</v>
      </c>
      <c r="E175" s="2" t="s">
        <v>114</v>
      </c>
      <c r="F175" s="2" t="s">
        <v>62</v>
      </c>
      <c r="G175" s="2" t="s">
        <v>115</v>
      </c>
      <c r="H175" s="2" t="s">
        <v>75</v>
      </c>
      <c r="I175" s="12" t="n">
        <v>1</v>
      </c>
      <c r="J175" s="12" t="n">
        <f aca="false">IF(COUNTIFS($D$2:$D175,$D175,$A$2:$A175,$A175)=1,1,0)</f>
        <v>1</v>
      </c>
    </row>
    <row r="176" customFormat="false" ht="15" hidden="false" customHeight="false" outlineLevel="0" collapsed="false">
      <c r="A176" s="11" t="n">
        <v>46246</v>
      </c>
      <c r="B176" s="2" t="s">
        <v>64</v>
      </c>
      <c r="C176" s="2" t="s">
        <v>78</v>
      </c>
      <c r="D176" s="2" t="s">
        <v>79</v>
      </c>
      <c r="E176" s="2" t="s">
        <v>80</v>
      </c>
      <c r="F176" s="2" t="s">
        <v>62</v>
      </c>
      <c r="G176" s="2" t="s">
        <v>81</v>
      </c>
      <c r="H176" s="2" t="s">
        <v>75</v>
      </c>
      <c r="I176" s="12" t="n">
        <v>1</v>
      </c>
      <c r="J176" s="12" t="n">
        <f aca="false">IF(COUNTIFS($D$2:$D176,$D176,$A$2:$A176,$A176)=1,1,0)</f>
        <v>1</v>
      </c>
    </row>
    <row r="177" customFormat="false" ht="15" hidden="false" customHeight="false" outlineLevel="0" collapsed="false">
      <c r="A177" s="11" t="n">
        <v>46246</v>
      </c>
      <c r="B177" s="2" t="s">
        <v>64</v>
      </c>
      <c r="C177" s="2" t="s">
        <v>202</v>
      </c>
      <c r="D177" s="2" t="s">
        <v>203</v>
      </c>
      <c r="E177" s="2" t="s">
        <v>204</v>
      </c>
      <c r="F177" s="2" t="s">
        <v>62</v>
      </c>
      <c r="G177" s="2" t="s">
        <v>205</v>
      </c>
      <c r="H177" s="2" t="s">
        <v>75</v>
      </c>
      <c r="I177" s="12" t="n">
        <v>1</v>
      </c>
      <c r="J177" s="12" t="n">
        <f aca="false">IF(COUNTIFS($D$2:$D177,$D177,$A$2:$A177,$A177)=1,1,0)</f>
        <v>1</v>
      </c>
    </row>
    <row r="178" customFormat="false" ht="15" hidden="false" customHeight="false" outlineLevel="0" collapsed="false">
      <c r="A178" s="11" t="n">
        <v>46247</v>
      </c>
      <c r="B178" s="2" t="s">
        <v>64</v>
      </c>
      <c r="C178" s="2" t="s">
        <v>252</v>
      </c>
      <c r="D178" s="2" t="s">
        <v>253</v>
      </c>
      <c r="E178" s="2" t="s">
        <v>254</v>
      </c>
      <c r="F178" s="2" t="s">
        <v>62</v>
      </c>
      <c r="G178" s="2" t="s">
        <v>255</v>
      </c>
      <c r="H178" s="2" t="s">
        <v>75</v>
      </c>
      <c r="I178" s="12" t="n">
        <v>1</v>
      </c>
      <c r="J178" s="12" t="n">
        <f aca="false">IF(COUNTIFS($D$2:$D178,$D178,$A$2:$A178,$A178)=1,1,0)</f>
        <v>1</v>
      </c>
    </row>
    <row r="179" customFormat="false" ht="15" hidden="false" customHeight="false" outlineLevel="0" collapsed="false">
      <c r="A179" s="11" t="n">
        <v>46247</v>
      </c>
      <c r="B179" s="2" t="s">
        <v>64</v>
      </c>
      <c r="C179" s="2" t="s">
        <v>167</v>
      </c>
      <c r="D179" s="2" t="s">
        <v>168</v>
      </c>
      <c r="E179" s="2" t="s">
        <v>169</v>
      </c>
      <c r="F179" s="2" t="s">
        <v>62</v>
      </c>
      <c r="G179" s="2" t="s">
        <v>170</v>
      </c>
      <c r="H179" s="2" t="s">
        <v>75</v>
      </c>
      <c r="I179" s="12" t="n">
        <v>1</v>
      </c>
      <c r="J179" s="12" t="n">
        <f aca="false">IF(COUNTIFS($D$2:$D179,$D179,$A$2:$A179,$A179)=1,1,0)</f>
        <v>1</v>
      </c>
    </row>
    <row r="180" customFormat="false" ht="15" hidden="false" customHeight="false" outlineLevel="0" collapsed="false">
      <c r="A180" s="11" t="n">
        <v>46247</v>
      </c>
      <c r="B180" s="2" t="s">
        <v>64</v>
      </c>
      <c r="C180" s="2" t="s">
        <v>167</v>
      </c>
      <c r="D180" s="2" t="s">
        <v>168</v>
      </c>
      <c r="E180" s="2" t="s">
        <v>169</v>
      </c>
      <c r="F180" s="2" t="s">
        <v>62</v>
      </c>
      <c r="G180" s="2" t="s">
        <v>168</v>
      </c>
      <c r="H180" s="2" t="s">
        <v>63</v>
      </c>
      <c r="I180" s="12" t="n">
        <v>1</v>
      </c>
      <c r="J180" s="12" t="n">
        <f aca="false">IF(COUNTIFS($D$2:$D180,$D180,$A$2:$A180,$A180)=1,1,0)</f>
        <v>0</v>
      </c>
    </row>
    <row r="181" customFormat="false" ht="15" hidden="false" customHeight="false" outlineLevel="0" collapsed="false">
      <c r="A181" s="11" t="n">
        <v>46247</v>
      </c>
      <c r="B181" s="2" t="s">
        <v>64</v>
      </c>
      <c r="C181" s="2" t="s">
        <v>120</v>
      </c>
      <c r="D181" s="2" t="s">
        <v>121</v>
      </c>
      <c r="E181" s="2" t="s">
        <v>122</v>
      </c>
      <c r="F181" s="2" t="s">
        <v>62</v>
      </c>
      <c r="G181" s="2" t="s">
        <v>123</v>
      </c>
      <c r="H181" s="2" t="s">
        <v>75</v>
      </c>
      <c r="I181" s="12" t="n">
        <v>1</v>
      </c>
      <c r="J181" s="12" t="n">
        <f aca="false">IF(COUNTIFS($D$2:$D181,$D181,$A$2:$A181,$A181)=1,1,0)</f>
        <v>1</v>
      </c>
    </row>
    <row r="182" customFormat="false" ht="15" hidden="false" customHeight="false" outlineLevel="0" collapsed="false">
      <c r="A182" s="11" t="n">
        <v>46247</v>
      </c>
      <c r="B182" s="2" t="s">
        <v>64</v>
      </c>
      <c r="C182" s="2" t="s">
        <v>59</v>
      </c>
      <c r="D182" s="2" t="s">
        <v>60</v>
      </c>
      <c r="E182" s="2" t="s">
        <v>61</v>
      </c>
      <c r="F182" s="2" t="s">
        <v>62</v>
      </c>
      <c r="G182" s="2" t="s">
        <v>77</v>
      </c>
      <c r="H182" s="2" t="s">
        <v>75</v>
      </c>
      <c r="I182" s="12" t="n">
        <v>1</v>
      </c>
      <c r="J182" s="12" t="n">
        <f aca="false">IF(COUNTIFS($D$2:$D182,$D182,$A$2:$A182,$A182)=1,1,0)</f>
        <v>1</v>
      </c>
    </row>
    <row r="183" customFormat="false" ht="15" hidden="false" customHeight="false" outlineLevel="0" collapsed="false">
      <c r="A183" s="11" t="n">
        <v>46247</v>
      </c>
      <c r="B183" s="2" t="s">
        <v>64</v>
      </c>
      <c r="C183" s="2" t="s">
        <v>59</v>
      </c>
      <c r="D183" s="2" t="s">
        <v>60</v>
      </c>
      <c r="E183" s="2" t="s">
        <v>61</v>
      </c>
      <c r="F183" s="2" t="s">
        <v>62</v>
      </c>
      <c r="G183" s="2" t="s">
        <v>60</v>
      </c>
      <c r="H183" s="2" t="s">
        <v>63</v>
      </c>
      <c r="I183" s="12" t="n">
        <v>1</v>
      </c>
      <c r="J183" s="12" t="n">
        <f aca="false">IF(COUNTIFS($D$2:$D183,$D183,$A$2:$A183,$A183)=1,1,0)</f>
        <v>0</v>
      </c>
    </row>
    <row r="184" customFormat="false" ht="15" hidden="false" customHeight="false" outlineLevel="0" collapsed="false">
      <c r="A184" s="11" t="n">
        <v>46247</v>
      </c>
      <c r="B184" s="2" t="s">
        <v>64</v>
      </c>
      <c r="C184" s="2" t="s">
        <v>78</v>
      </c>
      <c r="D184" s="2" t="s">
        <v>79</v>
      </c>
      <c r="E184" s="2" t="s">
        <v>80</v>
      </c>
      <c r="F184" s="2" t="s">
        <v>62</v>
      </c>
      <c r="G184" s="2" t="s">
        <v>81</v>
      </c>
      <c r="H184" s="2" t="s">
        <v>75</v>
      </c>
      <c r="I184" s="12" t="n">
        <v>3</v>
      </c>
      <c r="J184" s="12" t="n">
        <f aca="false">IF(COUNTIFS($D$2:$D184,$D184,$A$2:$A184,$A184)=1,1,0)</f>
        <v>1</v>
      </c>
    </row>
    <row r="185" customFormat="false" ht="15" hidden="false" customHeight="false" outlineLevel="0" collapsed="false">
      <c r="A185" s="11" t="n">
        <v>46247</v>
      </c>
      <c r="B185" s="2" t="s">
        <v>64</v>
      </c>
      <c r="C185" s="2" t="s">
        <v>78</v>
      </c>
      <c r="D185" s="2" t="s">
        <v>79</v>
      </c>
      <c r="E185" s="2" t="s">
        <v>80</v>
      </c>
      <c r="F185" s="2" t="s">
        <v>62</v>
      </c>
      <c r="G185" s="2" t="s">
        <v>79</v>
      </c>
      <c r="H185" s="2" t="s">
        <v>63</v>
      </c>
      <c r="I185" s="12" t="n">
        <v>1</v>
      </c>
      <c r="J185" s="12" t="n">
        <f aca="false">IF(COUNTIFS($D$2:$D185,$D185,$A$2:$A185,$A185)=1,1,0)</f>
        <v>0</v>
      </c>
    </row>
    <row r="186" customFormat="false" ht="15" hidden="false" customHeight="false" outlineLevel="0" collapsed="false">
      <c r="A186" s="11" t="n">
        <v>46247</v>
      </c>
      <c r="B186" s="2" t="s">
        <v>64</v>
      </c>
      <c r="C186" s="2" t="s">
        <v>155</v>
      </c>
      <c r="D186" s="2" t="s">
        <v>156</v>
      </c>
      <c r="E186" s="2" t="s">
        <v>157</v>
      </c>
      <c r="F186" s="2" t="s">
        <v>62</v>
      </c>
      <c r="G186" s="2" t="s">
        <v>158</v>
      </c>
      <c r="H186" s="2" t="s">
        <v>75</v>
      </c>
      <c r="I186" s="12" t="n">
        <v>1</v>
      </c>
      <c r="J186" s="12" t="n">
        <f aca="false">IF(COUNTIFS($D$2:$D186,$D186,$A$2:$A186,$A186)=1,1,0)</f>
        <v>1</v>
      </c>
    </row>
    <row r="187" customFormat="false" ht="15" hidden="false" customHeight="false" outlineLevel="0" collapsed="false">
      <c r="A187" s="11" t="n">
        <v>46247</v>
      </c>
      <c r="B187" s="2" t="s">
        <v>64</v>
      </c>
      <c r="C187" s="2" t="s">
        <v>163</v>
      </c>
      <c r="D187" s="2" t="s">
        <v>164</v>
      </c>
      <c r="E187" s="2" t="s">
        <v>165</v>
      </c>
      <c r="F187" s="2" t="s">
        <v>62</v>
      </c>
      <c r="G187" s="2" t="s">
        <v>164</v>
      </c>
      <c r="H187" s="2" t="s">
        <v>63</v>
      </c>
      <c r="I187" s="12" t="n">
        <v>1</v>
      </c>
      <c r="J187" s="12" t="n">
        <f aca="false">IF(COUNTIFS($D$2:$D187,$D187,$A$2:$A187,$A187)=1,1,0)</f>
        <v>1</v>
      </c>
    </row>
    <row r="188" customFormat="false" ht="15" hidden="false" customHeight="false" outlineLevel="0" collapsed="false">
      <c r="A188" s="11" t="n">
        <v>46248</v>
      </c>
      <c r="B188" s="2" t="s">
        <v>64</v>
      </c>
      <c r="C188" s="2" t="s">
        <v>145</v>
      </c>
      <c r="D188" s="2" t="s">
        <v>146</v>
      </c>
      <c r="E188" s="2" t="s">
        <v>134</v>
      </c>
      <c r="F188" s="2" t="s">
        <v>147</v>
      </c>
      <c r="G188" s="2" t="s">
        <v>146</v>
      </c>
      <c r="H188" s="2" t="s">
        <v>63</v>
      </c>
      <c r="I188" s="12" t="n">
        <v>1</v>
      </c>
      <c r="J188" s="12" t="n">
        <f aca="false">IF(COUNTIFS($D$2:$D188,$D188,$A$2:$A188,$A188)=1,1,0)</f>
        <v>1</v>
      </c>
    </row>
    <row r="189" customFormat="false" ht="15" hidden="false" customHeight="false" outlineLevel="0" collapsed="false">
      <c r="A189" s="11" t="n">
        <v>46248</v>
      </c>
      <c r="B189" s="2" t="s">
        <v>64</v>
      </c>
      <c r="C189" s="2" t="s">
        <v>209</v>
      </c>
      <c r="D189" s="2" t="s">
        <v>210</v>
      </c>
      <c r="E189" s="2" t="s">
        <v>211</v>
      </c>
      <c r="F189" s="2" t="s">
        <v>109</v>
      </c>
      <c r="G189" s="2" t="s">
        <v>212</v>
      </c>
      <c r="H189" s="2" t="s">
        <v>75</v>
      </c>
      <c r="I189" s="12" t="n">
        <v>1</v>
      </c>
      <c r="J189" s="12" t="n">
        <f aca="false">IF(COUNTIFS($D$2:$D189,$D189,$A$2:$A189,$A189)=1,1,0)</f>
        <v>1</v>
      </c>
    </row>
    <row r="190" customFormat="false" ht="15" hidden="false" customHeight="false" outlineLevel="0" collapsed="false">
      <c r="A190" s="11" t="n">
        <v>46248</v>
      </c>
      <c r="B190" s="2" t="s">
        <v>64</v>
      </c>
      <c r="C190" s="2" t="s">
        <v>99</v>
      </c>
      <c r="D190" s="2" t="s">
        <v>100</v>
      </c>
      <c r="E190" s="2" t="s">
        <v>101</v>
      </c>
      <c r="F190" s="2" t="s">
        <v>94</v>
      </c>
      <c r="G190" s="2" t="s">
        <v>111</v>
      </c>
      <c r="H190" s="2" t="s">
        <v>75</v>
      </c>
      <c r="I190" s="12" t="n">
        <v>1</v>
      </c>
      <c r="J190" s="12" t="n">
        <f aca="false">IF(COUNTIFS($D$2:$D190,$D190,$A$2:$A190,$A190)=1,1,0)</f>
        <v>1</v>
      </c>
    </row>
    <row r="191" customFormat="false" ht="15" hidden="false" customHeight="false" outlineLevel="0" collapsed="false">
      <c r="A191" s="11" t="n">
        <v>46248</v>
      </c>
      <c r="B191" s="2" t="s">
        <v>64</v>
      </c>
      <c r="C191" s="2" t="s">
        <v>65</v>
      </c>
      <c r="D191" s="2" t="s">
        <v>66</v>
      </c>
      <c r="E191" s="2" t="s">
        <v>67</v>
      </c>
      <c r="F191" s="2" t="s">
        <v>62</v>
      </c>
      <c r="G191" s="2" t="s">
        <v>66</v>
      </c>
      <c r="H191" s="2" t="s">
        <v>63</v>
      </c>
      <c r="I191" s="12" t="n">
        <v>2</v>
      </c>
      <c r="J191" s="12" t="n">
        <f aca="false">IF(COUNTIFS($D$2:$D191,$D191,$A$2:$A191,$A191)=1,1,0)</f>
        <v>1</v>
      </c>
    </row>
    <row r="192" customFormat="false" ht="15" hidden="false" customHeight="false" outlineLevel="0" collapsed="false">
      <c r="A192" s="11" t="n">
        <v>46248</v>
      </c>
      <c r="B192" s="2" t="s">
        <v>64</v>
      </c>
      <c r="C192" s="2" t="s">
        <v>256</v>
      </c>
      <c r="D192" s="2" t="s">
        <v>257</v>
      </c>
      <c r="E192" s="2" t="s">
        <v>258</v>
      </c>
      <c r="F192" s="2" t="s">
        <v>62</v>
      </c>
      <c r="G192" s="2" t="s">
        <v>259</v>
      </c>
      <c r="H192" s="2" t="s">
        <v>75</v>
      </c>
      <c r="I192" s="12" t="n">
        <v>1</v>
      </c>
      <c r="J192" s="12" t="n">
        <f aca="false">IF(COUNTIFS($D$2:$D192,$D192,$A$2:$A192,$A192)=1,1,0)</f>
        <v>1</v>
      </c>
    </row>
    <row r="193" customFormat="false" ht="15" hidden="false" customHeight="false" outlineLevel="0" collapsed="false">
      <c r="A193" s="11" t="n">
        <v>46248</v>
      </c>
      <c r="B193" s="2" t="s">
        <v>64</v>
      </c>
      <c r="C193" s="2" t="s">
        <v>260</v>
      </c>
      <c r="D193" s="2" t="s">
        <v>261</v>
      </c>
      <c r="E193" s="2" t="s">
        <v>262</v>
      </c>
      <c r="F193" s="2" t="s">
        <v>62</v>
      </c>
      <c r="G193" s="2" t="s">
        <v>263</v>
      </c>
      <c r="H193" s="2" t="s">
        <v>75</v>
      </c>
      <c r="I193" s="12" t="n">
        <v>1</v>
      </c>
      <c r="J193" s="12" t="n">
        <f aca="false">IF(COUNTIFS($D$2:$D193,$D193,$A$2:$A193,$A193)=1,1,0)</f>
        <v>1</v>
      </c>
    </row>
    <row r="194" customFormat="false" ht="15" hidden="false" customHeight="false" outlineLevel="0" collapsed="false">
      <c r="A194" s="11" t="n">
        <v>46248</v>
      </c>
      <c r="B194" s="2" t="s">
        <v>64</v>
      </c>
      <c r="C194" s="2" t="s">
        <v>120</v>
      </c>
      <c r="D194" s="2" t="s">
        <v>121</v>
      </c>
      <c r="E194" s="2" t="s">
        <v>122</v>
      </c>
      <c r="F194" s="2" t="s">
        <v>62</v>
      </c>
      <c r="G194" s="2" t="s">
        <v>123</v>
      </c>
      <c r="H194" s="2" t="s">
        <v>75</v>
      </c>
      <c r="I194" s="12" t="n">
        <v>1</v>
      </c>
      <c r="J194" s="12" t="n">
        <f aca="false">IF(COUNTIFS($D$2:$D194,$D194,$A$2:$A194,$A194)=1,1,0)</f>
        <v>1</v>
      </c>
    </row>
    <row r="195" customFormat="false" ht="15" hidden="false" customHeight="false" outlineLevel="0" collapsed="false">
      <c r="A195" s="11" t="n">
        <v>46248</v>
      </c>
      <c r="B195" s="2" t="s">
        <v>64</v>
      </c>
      <c r="C195" s="2" t="s">
        <v>264</v>
      </c>
      <c r="D195" s="2" t="s">
        <v>265</v>
      </c>
      <c r="E195" s="2" t="s">
        <v>266</v>
      </c>
      <c r="F195" s="2" t="s">
        <v>62</v>
      </c>
      <c r="G195" s="2" t="s">
        <v>267</v>
      </c>
      <c r="H195" s="2" t="s">
        <v>75</v>
      </c>
      <c r="I195" s="12" t="n">
        <v>1</v>
      </c>
      <c r="J195" s="12" t="n">
        <f aca="false">IF(COUNTIFS($D$2:$D195,$D195,$A$2:$A195,$A195)=1,1,0)</f>
        <v>1</v>
      </c>
    </row>
    <row r="196" customFormat="false" ht="15" hidden="false" customHeight="false" outlineLevel="0" collapsed="false">
      <c r="A196" s="11" t="n">
        <v>46248</v>
      </c>
      <c r="B196" s="2" t="s">
        <v>64</v>
      </c>
      <c r="C196" s="2" t="s">
        <v>112</v>
      </c>
      <c r="D196" s="2" t="s">
        <v>113</v>
      </c>
      <c r="E196" s="2" t="s">
        <v>114</v>
      </c>
      <c r="F196" s="2" t="s">
        <v>62</v>
      </c>
      <c r="G196" s="2" t="s">
        <v>115</v>
      </c>
      <c r="H196" s="2" t="s">
        <v>75</v>
      </c>
      <c r="I196" s="12" t="n">
        <v>1</v>
      </c>
      <c r="J196" s="12" t="n">
        <f aca="false">IF(COUNTIFS($D$2:$D196,$D196,$A$2:$A196,$A196)=1,1,0)</f>
        <v>1</v>
      </c>
    </row>
    <row r="197" customFormat="false" ht="15" hidden="false" customHeight="false" outlineLevel="0" collapsed="false">
      <c r="A197" s="11" t="n">
        <v>46248</v>
      </c>
      <c r="B197" s="2" t="s">
        <v>64</v>
      </c>
      <c r="C197" s="2" t="s">
        <v>59</v>
      </c>
      <c r="D197" s="2" t="s">
        <v>60</v>
      </c>
      <c r="E197" s="2" t="s">
        <v>61</v>
      </c>
      <c r="F197" s="2" t="s">
        <v>62</v>
      </c>
      <c r="G197" s="2" t="s">
        <v>77</v>
      </c>
      <c r="H197" s="2" t="s">
        <v>75</v>
      </c>
      <c r="I197" s="12" t="n">
        <v>1</v>
      </c>
      <c r="J197" s="12" t="n">
        <f aca="false">IF(COUNTIFS($D$2:$D197,$D197,$A$2:$A197,$A197)=1,1,0)</f>
        <v>1</v>
      </c>
    </row>
    <row r="198" customFormat="false" ht="15" hidden="false" customHeight="false" outlineLevel="0" collapsed="false">
      <c r="A198" s="11" t="n">
        <v>46248</v>
      </c>
      <c r="B198" s="2" t="s">
        <v>64</v>
      </c>
      <c r="C198" s="2" t="s">
        <v>244</v>
      </c>
      <c r="D198" s="2" t="s">
        <v>245</v>
      </c>
      <c r="E198" s="2" t="s">
        <v>246</v>
      </c>
      <c r="F198" s="2" t="s">
        <v>62</v>
      </c>
      <c r="G198" s="2" t="s">
        <v>245</v>
      </c>
      <c r="H198" s="2" t="s">
        <v>63</v>
      </c>
      <c r="I198" s="12" t="n">
        <v>1</v>
      </c>
      <c r="J198" s="12" t="n">
        <f aca="false">IF(COUNTIFS($D$2:$D198,$D198,$A$2:$A198,$A198)=1,1,0)</f>
        <v>1</v>
      </c>
    </row>
    <row r="199" customFormat="false" ht="15" hidden="false" customHeight="false" outlineLevel="0" collapsed="false">
      <c r="A199" s="11" t="n">
        <v>46248</v>
      </c>
      <c r="B199" s="2" t="s">
        <v>64</v>
      </c>
      <c r="C199" s="2" t="s">
        <v>152</v>
      </c>
      <c r="D199" s="2" t="s">
        <v>153</v>
      </c>
      <c r="E199" s="2" t="s">
        <v>154</v>
      </c>
      <c r="F199" s="2" t="s">
        <v>62</v>
      </c>
      <c r="G199" s="2" t="s">
        <v>268</v>
      </c>
      <c r="H199" s="2" t="s">
        <v>75</v>
      </c>
      <c r="I199" s="12" t="n">
        <v>1</v>
      </c>
      <c r="J199" s="12" t="n">
        <f aca="false">IF(COUNTIFS($D$2:$D199,$D199,$A$2:$A199,$A199)=1,1,0)</f>
        <v>1</v>
      </c>
    </row>
    <row r="200" customFormat="false" ht="15" hidden="false" customHeight="false" outlineLevel="0" collapsed="false">
      <c r="A200" s="11" t="n">
        <v>46248</v>
      </c>
      <c r="B200" s="2" t="s">
        <v>64</v>
      </c>
      <c r="C200" s="2" t="s">
        <v>68</v>
      </c>
      <c r="D200" s="2" t="s">
        <v>69</v>
      </c>
      <c r="E200" s="2" t="s">
        <v>70</v>
      </c>
      <c r="F200" s="2" t="s">
        <v>62</v>
      </c>
      <c r="G200" s="2" t="s">
        <v>178</v>
      </c>
      <c r="H200" s="2" t="s">
        <v>75</v>
      </c>
      <c r="I200" s="12" t="n">
        <v>1</v>
      </c>
      <c r="J200" s="12" t="n">
        <f aca="false">IF(COUNTIFS($D$2:$D200,$D200,$A$2:$A200,$A200)=1,1,0)</f>
        <v>1</v>
      </c>
    </row>
    <row r="201" customFormat="false" ht="15" hidden="false" customHeight="false" outlineLevel="0" collapsed="false">
      <c r="A201" s="11" t="n">
        <v>46248</v>
      </c>
      <c r="B201" s="2" t="s">
        <v>64</v>
      </c>
      <c r="C201" s="2" t="s">
        <v>68</v>
      </c>
      <c r="D201" s="2" t="s">
        <v>69</v>
      </c>
      <c r="E201" s="2" t="s">
        <v>70</v>
      </c>
      <c r="F201" s="2" t="s">
        <v>62</v>
      </c>
      <c r="G201" s="2" t="s">
        <v>69</v>
      </c>
      <c r="H201" s="2" t="s">
        <v>63</v>
      </c>
      <c r="I201" s="12" t="n">
        <v>1</v>
      </c>
      <c r="J201" s="12" t="n">
        <f aca="false">IF(COUNTIFS($D$2:$D201,$D201,$A$2:$A201,$A201)=1,1,0)</f>
        <v>0</v>
      </c>
    </row>
    <row r="202" customFormat="false" ht="15" hidden="false" customHeight="false" outlineLevel="0" collapsed="false">
      <c r="A202" s="11" t="n">
        <v>46248</v>
      </c>
      <c r="B202" s="2" t="s">
        <v>64</v>
      </c>
      <c r="C202" s="2" t="s">
        <v>91</v>
      </c>
      <c r="D202" s="2" t="s">
        <v>92</v>
      </c>
      <c r="E202" s="2" t="s">
        <v>93</v>
      </c>
      <c r="F202" s="2" t="s">
        <v>94</v>
      </c>
      <c r="G202" s="2" t="s">
        <v>92</v>
      </c>
      <c r="H202" s="2" t="s">
        <v>63</v>
      </c>
      <c r="I202" s="12" t="n">
        <v>1</v>
      </c>
      <c r="J202" s="12" t="n">
        <f aca="false">IF(COUNTIFS($D$2:$D202,$D202,$A$2:$A202,$A202)=1,1,0)</f>
        <v>1</v>
      </c>
    </row>
    <row r="203" customFormat="false" ht="15" hidden="false" customHeight="false" outlineLevel="0" collapsed="false">
      <c r="A203" s="11" t="n">
        <v>46250</v>
      </c>
      <c r="B203" s="2" t="s">
        <v>64</v>
      </c>
      <c r="C203" s="2" t="s">
        <v>148</v>
      </c>
      <c r="D203" s="2" t="s">
        <v>149</v>
      </c>
      <c r="E203" s="2" t="s">
        <v>150</v>
      </c>
      <c r="F203" s="2" t="s">
        <v>109</v>
      </c>
      <c r="G203" s="2" t="s">
        <v>151</v>
      </c>
      <c r="H203" s="2" t="s">
        <v>75</v>
      </c>
      <c r="I203" s="12" t="n">
        <v>1</v>
      </c>
      <c r="J203" s="12" t="n">
        <f aca="false">IF(COUNTIFS($D$2:$D203,$D203,$A$2:$A203,$A203)=1,1,0)</f>
        <v>1</v>
      </c>
    </row>
    <row r="204" customFormat="false" ht="15" hidden="false" customHeight="false" outlineLevel="0" collapsed="false">
      <c r="A204" s="11" t="n">
        <v>46250</v>
      </c>
      <c r="B204" s="2" t="s">
        <v>64</v>
      </c>
      <c r="C204" s="2" t="s">
        <v>239</v>
      </c>
      <c r="D204" s="2" t="s">
        <v>240</v>
      </c>
      <c r="E204" s="2" t="s">
        <v>241</v>
      </c>
      <c r="F204" s="2" t="s">
        <v>62</v>
      </c>
      <c r="G204" s="2" t="s">
        <v>242</v>
      </c>
      <c r="H204" s="2" t="s">
        <v>75</v>
      </c>
      <c r="I204" s="12" t="n">
        <v>1</v>
      </c>
      <c r="J204" s="12" t="n">
        <f aca="false">IF(COUNTIFS($D$2:$D204,$D204,$A$2:$A204,$A204)=1,1,0)</f>
        <v>1</v>
      </c>
    </row>
    <row r="205" customFormat="false" ht="15" hidden="false" customHeight="false" outlineLevel="0" collapsed="false">
      <c r="A205" s="11" t="n">
        <v>46250</v>
      </c>
      <c r="B205" s="2" t="s">
        <v>64</v>
      </c>
      <c r="C205" s="2" t="s">
        <v>65</v>
      </c>
      <c r="D205" s="2" t="s">
        <v>66</v>
      </c>
      <c r="E205" s="2" t="s">
        <v>67</v>
      </c>
      <c r="F205" s="2" t="s">
        <v>62</v>
      </c>
      <c r="G205" s="2" t="s">
        <v>110</v>
      </c>
      <c r="H205" s="2" t="s">
        <v>75</v>
      </c>
      <c r="I205" s="12" t="n">
        <v>1</v>
      </c>
      <c r="J205" s="12" t="n">
        <f aca="false">IF(COUNTIFS($D$2:$D205,$D205,$A$2:$A205,$A205)=1,1,0)</f>
        <v>1</v>
      </c>
    </row>
    <row r="206" customFormat="false" ht="15" hidden="false" customHeight="false" outlineLevel="0" collapsed="false">
      <c r="A206" s="11" t="n">
        <v>46250</v>
      </c>
      <c r="B206" s="2" t="s">
        <v>64</v>
      </c>
      <c r="C206" s="2" t="s">
        <v>112</v>
      </c>
      <c r="D206" s="2" t="s">
        <v>113</v>
      </c>
      <c r="E206" s="2" t="s">
        <v>114</v>
      </c>
      <c r="F206" s="2" t="s">
        <v>62</v>
      </c>
      <c r="G206" s="2" t="s">
        <v>115</v>
      </c>
      <c r="H206" s="2" t="s">
        <v>75</v>
      </c>
      <c r="I206" s="12" t="n">
        <v>1</v>
      </c>
      <c r="J206" s="12" t="n">
        <f aca="false">IF(COUNTIFS($D$2:$D206,$D206,$A$2:$A206,$A206)=1,1,0)</f>
        <v>1</v>
      </c>
    </row>
    <row r="207" customFormat="false" ht="15" hidden="false" customHeight="false" outlineLevel="0" collapsed="false">
      <c r="A207" s="11" t="n">
        <v>46250</v>
      </c>
      <c r="B207" s="2" t="s">
        <v>64</v>
      </c>
      <c r="C207" s="2" t="s">
        <v>59</v>
      </c>
      <c r="D207" s="2" t="s">
        <v>60</v>
      </c>
      <c r="E207" s="2" t="s">
        <v>61</v>
      </c>
      <c r="F207" s="2" t="s">
        <v>62</v>
      </c>
      <c r="G207" s="2" t="s">
        <v>77</v>
      </c>
      <c r="H207" s="2" t="s">
        <v>75</v>
      </c>
      <c r="I207" s="12" t="n">
        <v>1</v>
      </c>
      <c r="J207" s="12" t="n">
        <f aca="false">IF(COUNTIFS($D$2:$D207,$D207,$A$2:$A207,$A207)=1,1,0)</f>
        <v>1</v>
      </c>
    </row>
    <row r="208" customFormat="false" ht="15" hidden="false" customHeight="false" outlineLevel="0" collapsed="false">
      <c r="A208" s="11" t="n">
        <v>46250</v>
      </c>
      <c r="B208" s="2" t="s">
        <v>64</v>
      </c>
      <c r="C208" s="2" t="s">
        <v>244</v>
      </c>
      <c r="D208" s="2" t="s">
        <v>245</v>
      </c>
      <c r="E208" s="2" t="s">
        <v>246</v>
      </c>
      <c r="F208" s="2" t="s">
        <v>62</v>
      </c>
      <c r="G208" s="2" t="s">
        <v>245</v>
      </c>
      <c r="H208" s="2" t="s">
        <v>63</v>
      </c>
      <c r="I208" s="12" t="n">
        <v>1</v>
      </c>
      <c r="J208" s="12" t="n">
        <f aca="false">IF(COUNTIFS($D$2:$D208,$D208,$A$2:$A208,$A208)=1,1,0)</f>
        <v>1</v>
      </c>
    </row>
    <row r="209" customFormat="false" ht="15" hidden="false" customHeight="false" outlineLevel="0" collapsed="false">
      <c r="A209" s="11" t="n">
        <v>46250</v>
      </c>
      <c r="B209" s="2" t="s">
        <v>64</v>
      </c>
      <c r="C209" s="2" t="s">
        <v>269</v>
      </c>
      <c r="D209" s="2" t="s">
        <v>270</v>
      </c>
      <c r="E209" s="2" t="s">
        <v>271</v>
      </c>
      <c r="F209" s="2" t="s">
        <v>62</v>
      </c>
      <c r="G209" s="2" t="s">
        <v>272</v>
      </c>
      <c r="H209" s="2" t="s">
        <v>75</v>
      </c>
      <c r="I209" s="12" t="n">
        <v>1</v>
      </c>
      <c r="J209" s="12" t="n">
        <f aca="false">IF(COUNTIFS($D$2:$D209,$D209,$A$2:$A209,$A209)=1,1,0)</f>
        <v>1</v>
      </c>
    </row>
    <row r="210" customFormat="false" ht="15" hidden="false" customHeight="false" outlineLevel="0" collapsed="false">
      <c r="A210" s="11" t="n">
        <v>46250</v>
      </c>
      <c r="B210" s="2" t="s">
        <v>64</v>
      </c>
      <c r="C210" s="2" t="s">
        <v>68</v>
      </c>
      <c r="D210" s="2" t="s">
        <v>69</v>
      </c>
      <c r="E210" s="2" t="s">
        <v>70</v>
      </c>
      <c r="F210" s="2" t="s">
        <v>62</v>
      </c>
      <c r="G210" s="2" t="s">
        <v>178</v>
      </c>
      <c r="H210" s="2" t="s">
        <v>75</v>
      </c>
      <c r="I210" s="12" t="n">
        <v>1</v>
      </c>
      <c r="J210" s="12" t="n">
        <f aca="false">IF(COUNTIFS($D$2:$D210,$D210,$A$2:$A210,$A210)=1,1,0)</f>
        <v>1</v>
      </c>
    </row>
    <row r="211" customFormat="false" ht="15" hidden="false" customHeight="false" outlineLevel="0" collapsed="false">
      <c r="A211" s="11" t="n">
        <v>46250</v>
      </c>
      <c r="B211" s="2" t="s">
        <v>64</v>
      </c>
      <c r="C211" s="2" t="s">
        <v>273</v>
      </c>
      <c r="D211" s="2" t="s">
        <v>274</v>
      </c>
      <c r="E211" s="2" t="s">
        <v>275</v>
      </c>
      <c r="F211" s="2" t="s">
        <v>62</v>
      </c>
      <c r="G211" s="2" t="s">
        <v>276</v>
      </c>
      <c r="H211" s="2" t="s">
        <v>75</v>
      </c>
      <c r="I211" s="12" t="n">
        <v>1</v>
      </c>
      <c r="J211" s="12" t="n">
        <f aca="false">IF(COUNTIFS($D$2:$D211,$D211,$A$2:$A211,$A211)=1,1,0)</f>
        <v>1</v>
      </c>
    </row>
    <row r="212" customFormat="false" ht="15" hidden="false" customHeight="false" outlineLevel="0" collapsed="false">
      <c r="A212" s="11" t="n">
        <v>46251</v>
      </c>
      <c r="B212" s="2" t="s">
        <v>64</v>
      </c>
      <c r="C212" s="2" t="s">
        <v>148</v>
      </c>
      <c r="D212" s="2" t="s">
        <v>149</v>
      </c>
      <c r="E212" s="2" t="s">
        <v>150</v>
      </c>
      <c r="F212" s="2" t="s">
        <v>109</v>
      </c>
      <c r="G212" s="2" t="s">
        <v>151</v>
      </c>
      <c r="H212" s="2" t="s">
        <v>75</v>
      </c>
      <c r="I212" s="12" t="n">
        <v>1</v>
      </c>
      <c r="J212" s="12" t="n">
        <f aca="false">IF(COUNTIFS($D$2:$D212,$D212,$A$2:$A212,$A212)=1,1,0)</f>
        <v>1</v>
      </c>
    </row>
    <row r="213" customFormat="false" ht="15" hidden="false" customHeight="false" outlineLevel="0" collapsed="false">
      <c r="A213" s="11" t="n">
        <v>46251</v>
      </c>
      <c r="B213" s="2" t="s">
        <v>64</v>
      </c>
      <c r="C213" s="2" t="s">
        <v>277</v>
      </c>
      <c r="D213" s="2" t="s">
        <v>278</v>
      </c>
      <c r="E213" s="2" t="s">
        <v>279</v>
      </c>
      <c r="F213" s="2" t="s">
        <v>109</v>
      </c>
      <c r="G213" s="2" t="s">
        <v>280</v>
      </c>
      <c r="H213" s="2" t="s">
        <v>75</v>
      </c>
      <c r="I213" s="12" t="n">
        <v>1</v>
      </c>
      <c r="J213" s="12" t="n">
        <f aca="false">IF(COUNTIFS($D$2:$D213,$D213,$A$2:$A213,$A213)=1,1,0)</f>
        <v>1</v>
      </c>
    </row>
    <row r="214" customFormat="false" ht="15" hidden="false" customHeight="false" outlineLevel="0" collapsed="false">
      <c r="A214" s="11" t="n">
        <v>46251</v>
      </c>
      <c r="B214" s="2" t="s">
        <v>64</v>
      </c>
      <c r="C214" s="2" t="s">
        <v>281</v>
      </c>
      <c r="D214" s="2" t="s">
        <v>282</v>
      </c>
      <c r="E214" s="2" t="s">
        <v>283</v>
      </c>
      <c r="F214" s="2" t="s">
        <v>62</v>
      </c>
      <c r="G214" s="2" t="s">
        <v>284</v>
      </c>
      <c r="H214" s="2" t="s">
        <v>75</v>
      </c>
      <c r="I214" s="12" t="n">
        <v>1</v>
      </c>
      <c r="J214" s="12" t="n">
        <f aca="false">IF(COUNTIFS($D$2:$D214,$D214,$A$2:$A214,$A214)=1,1,0)</f>
        <v>1</v>
      </c>
    </row>
    <row r="215" customFormat="false" ht="15" hidden="false" customHeight="false" outlineLevel="0" collapsed="false">
      <c r="A215" s="11" t="n">
        <v>46251</v>
      </c>
      <c r="B215" s="2" t="s">
        <v>64</v>
      </c>
      <c r="C215" s="2" t="s">
        <v>136</v>
      </c>
      <c r="D215" s="2" t="s">
        <v>137</v>
      </c>
      <c r="E215" s="2" t="s">
        <v>138</v>
      </c>
      <c r="F215" s="2" t="s">
        <v>62</v>
      </c>
      <c r="G215" s="2" t="s">
        <v>285</v>
      </c>
      <c r="H215" s="2" t="s">
        <v>75</v>
      </c>
      <c r="I215" s="12" t="n">
        <v>1</v>
      </c>
      <c r="J215" s="12" t="n">
        <f aca="false">IF(COUNTIFS($D$2:$D215,$D215,$A$2:$A215,$A215)=1,1,0)</f>
        <v>1</v>
      </c>
    </row>
    <row r="216" customFormat="false" ht="15" hidden="false" customHeight="false" outlineLevel="0" collapsed="false">
      <c r="A216" s="11" t="n">
        <v>46252</v>
      </c>
      <c r="B216" s="2" t="s">
        <v>64</v>
      </c>
      <c r="C216" s="2" t="s">
        <v>239</v>
      </c>
      <c r="D216" s="2" t="s">
        <v>240</v>
      </c>
      <c r="E216" s="2" t="s">
        <v>241</v>
      </c>
      <c r="F216" s="2" t="s">
        <v>62</v>
      </c>
      <c r="G216" s="2" t="s">
        <v>242</v>
      </c>
      <c r="H216" s="2" t="s">
        <v>75</v>
      </c>
      <c r="I216" s="12" t="n">
        <v>1</v>
      </c>
      <c r="J216" s="12" t="n">
        <f aca="false">IF(COUNTIFS($D$2:$D216,$D216,$A$2:$A216,$A216)=1,1,0)</f>
        <v>1</v>
      </c>
    </row>
    <row r="217" customFormat="false" ht="15" hidden="false" customHeight="false" outlineLevel="0" collapsed="false">
      <c r="A217" s="11" t="n">
        <v>46252</v>
      </c>
      <c r="B217" s="2" t="s">
        <v>64</v>
      </c>
      <c r="C217" s="2" t="s">
        <v>65</v>
      </c>
      <c r="D217" s="2" t="s">
        <v>66</v>
      </c>
      <c r="E217" s="2" t="s">
        <v>67</v>
      </c>
      <c r="F217" s="2" t="s">
        <v>62</v>
      </c>
      <c r="G217" s="2" t="s">
        <v>110</v>
      </c>
      <c r="H217" s="2" t="s">
        <v>75</v>
      </c>
      <c r="I217" s="12" t="n">
        <v>2</v>
      </c>
      <c r="J217" s="12" t="n">
        <f aca="false">IF(COUNTIFS($D$2:$D217,$D217,$A$2:$A217,$A217)=1,1,0)</f>
        <v>1</v>
      </c>
    </row>
    <row r="218" customFormat="false" ht="15" hidden="false" customHeight="false" outlineLevel="0" collapsed="false">
      <c r="A218" s="11" t="n">
        <v>46253</v>
      </c>
      <c r="B218" s="2" t="s">
        <v>64</v>
      </c>
      <c r="C218" s="2" t="s">
        <v>167</v>
      </c>
      <c r="D218" s="2" t="s">
        <v>168</v>
      </c>
      <c r="E218" s="2" t="s">
        <v>169</v>
      </c>
      <c r="F218" s="2" t="s">
        <v>62</v>
      </c>
      <c r="G218" s="2" t="s">
        <v>170</v>
      </c>
      <c r="H218" s="2" t="s">
        <v>75</v>
      </c>
      <c r="I218" s="12" t="n">
        <v>1</v>
      </c>
      <c r="J218" s="12" t="n">
        <f aca="false">IF(COUNTIFS($D$2:$D218,$D218,$A$2:$A218,$A218)=1,1,0)</f>
        <v>1</v>
      </c>
    </row>
    <row r="219" customFormat="false" ht="15" hidden="false" customHeight="false" outlineLevel="0" collapsed="false">
      <c r="A219" s="11" t="n">
        <v>46253</v>
      </c>
      <c r="B219" s="2" t="s">
        <v>64</v>
      </c>
      <c r="C219" s="2" t="s">
        <v>167</v>
      </c>
      <c r="D219" s="2" t="s">
        <v>168</v>
      </c>
      <c r="E219" s="2" t="s">
        <v>169</v>
      </c>
      <c r="F219" s="2" t="s">
        <v>62</v>
      </c>
      <c r="G219" s="2" t="s">
        <v>168</v>
      </c>
      <c r="H219" s="2" t="s">
        <v>63</v>
      </c>
      <c r="I219" s="12" t="n">
        <v>1</v>
      </c>
      <c r="J219" s="12" t="n">
        <f aca="false">IF(COUNTIFS($D$2:$D219,$D219,$A$2:$A219,$A219)=1,1,0)</f>
        <v>0</v>
      </c>
    </row>
    <row r="220" customFormat="false" ht="15" hidden="false" customHeight="false" outlineLevel="0" collapsed="false">
      <c r="A220" s="11" t="n">
        <v>46253</v>
      </c>
      <c r="B220" s="2" t="s">
        <v>64</v>
      </c>
      <c r="C220" s="2" t="s">
        <v>239</v>
      </c>
      <c r="D220" s="2" t="s">
        <v>240</v>
      </c>
      <c r="E220" s="2" t="s">
        <v>241</v>
      </c>
      <c r="F220" s="2" t="s">
        <v>62</v>
      </c>
      <c r="G220" s="2" t="s">
        <v>242</v>
      </c>
      <c r="H220" s="2" t="s">
        <v>75</v>
      </c>
      <c r="I220" s="12" t="n">
        <v>3</v>
      </c>
      <c r="J220" s="12" t="n">
        <f aca="false">IF(COUNTIFS($D$2:$D220,$D220,$A$2:$A220,$A220)=1,1,0)</f>
        <v>1</v>
      </c>
    </row>
    <row r="221" customFormat="false" ht="15" hidden="false" customHeight="false" outlineLevel="0" collapsed="false">
      <c r="A221" s="11" t="n">
        <v>46253</v>
      </c>
      <c r="B221" s="2" t="s">
        <v>64</v>
      </c>
      <c r="C221" s="2" t="s">
        <v>65</v>
      </c>
      <c r="D221" s="2" t="s">
        <v>66</v>
      </c>
      <c r="E221" s="2" t="s">
        <v>67</v>
      </c>
      <c r="F221" s="2" t="s">
        <v>62</v>
      </c>
      <c r="G221" s="2" t="s">
        <v>110</v>
      </c>
      <c r="H221" s="2" t="s">
        <v>75</v>
      </c>
      <c r="I221" s="12" t="n">
        <v>2</v>
      </c>
      <c r="J221" s="12" t="n">
        <f aca="false">IF(COUNTIFS($D$2:$D221,$D221,$A$2:$A221,$A221)=1,1,0)</f>
        <v>1</v>
      </c>
    </row>
    <row r="222" customFormat="false" ht="15" hidden="false" customHeight="false" outlineLevel="0" collapsed="false">
      <c r="A222" s="11" t="n">
        <v>46253</v>
      </c>
      <c r="B222" s="2" t="s">
        <v>64</v>
      </c>
      <c r="C222" s="2" t="s">
        <v>71</v>
      </c>
      <c r="D222" s="2" t="s">
        <v>72</v>
      </c>
      <c r="E222" s="2" t="s">
        <v>73</v>
      </c>
      <c r="F222" s="2" t="s">
        <v>62</v>
      </c>
      <c r="G222" s="2" t="s">
        <v>76</v>
      </c>
      <c r="H222" s="2" t="s">
        <v>75</v>
      </c>
      <c r="I222" s="12" t="n">
        <v>1</v>
      </c>
      <c r="J222" s="12" t="n">
        <f aca="false">IF(COUNTIFS($D$2:$D222,$D222,$A$2:$A222,$A222)=1,1,0)</f>
        <v>1</v>
      </c>
    </row>
    <row r="223" customFormat="false" ht="15" hidden="false" customHeight="false" outlineLevel="0" collapsed="false">
      <c r="A223" s="11" t="n">
        <v>46253</v>
      </c>
      <c r="B223" s="2" t="s">
        <v>64</v>
      </c>
      <c r="C223" s="2" t="s">
        <v>59</v>
      </c>
      <c r="D223" s="2" t="s">
        <v>60</v>
      </c>
      <c r="E223" s="2" t="s">
        <v>61</v>
      </c>
      <c r="F223" s="2" t="s">
        <v>62</v>
      </c>
      <c r="G223" s="2" t="s">
        <v>77</v>
      </c>
      <c r="H223" s="2" t="s">
        <v>75</v>
      </c>
      <c r="I223" s="12" t="n">
        <v>1</v>
      </c>
      <c r="J223" s="12" t="n">
        <f aca="false">IF(COUNTIFS($D$2:$D223,$D223,$A$2:$A223,$A223)=1,1,0)</f>
        <v>1</v>
      </c>
    </row>
    <row r="224" customFormat="false" ht="15" hidden="false" customHeight="false" outlineLevel="0" collapsed="false">
      <c r="A224" s="11" t="n">
        <v>46253</v>
      </c>
      <c r="B224" s="2" t="s">
        <v>64</v>
      </c>
      <c r="C224" s="2" t="s">
        <v>78</v>
      </c>
      <c r="D224" s="2" t="s">
        <v>79</v>
      </c>
      <c r="E224" s="2" t="s">
        <v>80</v>
      </c>
      <c r="F224" s="2" t="s">
        <v>62</v>
      </c>
      <c r="G224" s="2" t="s">
        <v>79</v>
      </c>
      <c r="H224" s="2" t="s">
        <v>63</v>
      </c>
      <c r="I224" s="12" t="n">
        <v>1</v>
      </c>
      <c r="J224" s="12" t="n">
        <f aca="false">IF(COUNTIFS($D$2:$D224,$D224,$A$2:$A224,$A224)=1,1,0)</f>
        <v>1</v>
      </c>
    </row>
    <row r="225" customFormat="false" ht="15" hidden="false" customHeight="false" outlineLevel="0" collapsed="false">
      <c r="A225" s="11" t="n">
        <v>46253</v>
      </c>
      <c r="B225" s="2" t="s">
        <v>64</v>
      </c>
      <c r="C225" s="2" t="s">
        <v>155</v>
      </c>
      <c r="D225" s="2" t="s">
        <v>156</v>
      </c>
      <c r="E225" s="2" t="s">
        <v>157</v>
      </c>
      <c r="F225" s="2" t="s">
        <v>62</v>
      </c>
      <c r="G225" s="2" t="s">
        <v>158</v>
      </c>
      <c r="H225" s="2" t="s">
        <v>75</v>
      </c>
      <c r="I225" s="12" t="n">
        <v>1</v>
      </c>
      <c r="J225" s="12" t="n">
        <f aca="false">IF(COUNTIFS($D$2:$D225,$D225,$A$2:$A225,$A225)=1,1,0)</f>
        <v>1</v>
      </c>
    </row>
    <row r="226" customFormat="false" ht="15" hidden="false" customHeight="false" outlineLevel="0" collapsed="false">
      <c r="A226" s="11" t="n">
        <v>46253</v>
      </c>
      <c r="B226" s="2" t="s">
        <v>64</v>
      </c>
      <c r="C226" s="2" t="s">
        <v>221</v>
      </c>
      <c r="D226" s="2" t="s">
        <v>222</v>
      </c>
      <c r="E226" s="2" t="s">
        <v>223</v>
      </c>
      <c r="F226" s="2" t="s">
        <v>62</v>
      </c>
      <c r="G226" s="2" t="s">
        <v>224</v>
      </c>
      <c r="H226" s="2" t="s">
        <v>75</v>
      </c>
      <c r="I226" s="12" t="n">
        <v>1</v>
      </c>
      <c r="J226" s="12" t="n">
        <f aca="false">IF(COUNTIFS($D$2:$D226,$D226,$A$2:$A226,$A226)=1,1,0)</f>
        <v>1</v>
      </c>
    </row>
    <row r="227" customFormat="false" ht="15" hidden="false" customHeight="false" outlineLevel="0" collapsed="false">
      <c r="A227" s="11" t="n">
        <v>46254</v>
      </c>
      <c r="B227" s="2" t="s">
        <v>64</v>
      </c>
      <c r="C227" s="2" t="s">
        <v>128</v>
      </c>
      <c r="D227" s="2" t="s">
        <v>129</v>
      </c>
      <c r="E227" s="2" t="s">
        <v>130</v>
      </c>
      <c r="F227" s="2" t="s">
        <v>109</v>
      </c>
      <c r="G227" s="2" t="s">
        <v>131</v>
      </c>
      <c r="H227" s="2" t="s">
        <v>75</v>
      </c>
      <c r="I227" s="12" t="n">
        <v>1</v>
      </c>
      <c r="J227" s="12" t="n">
        <f aca="false">IF(COUNTIFS($D$2:$D227,$D227,$A$2:$A227,$A227)=1,1,0)</f>
        <v>1</v>
      </c>
    </row>
    <row r="228" customFormat="false" ht="15" hidden="false" customHeight="false" outlineLevel="0" collapsed="false">
      <c r="A228" s="11" t="n">
        <v>46254</v>
      </c>
      <c r="B228" s="2" t="s">
        <v>64</v>
      </c>
      <c r="C228" s="2" t="s">
        <v>159</v>
      </c>
      <c r="D228" s="2" t="s">
        <v>160</v>
      </c>
      <c r="E228" s="2" t="s">
        <v>161</v>
      </c>
      <c r="F228" s="2" t="s">
        <v>62</v>
      </c>
      <c r="G228" s="2" t="s">
        <v>162</v>
      </c>
      <c r="H228" s="2" t="s">
        <v>75</v>
      </c>
      <c r="I228" s="12" t="n">
        <v>1</v>
      </c>
      <c r="J228" s="12" t="n">
        <f aca="false">IF(COUNTIFS($D$2:$D228,$D228,$A$2:$A228,$A228)=1,1,0)</f>
        <v>1</v>
      </c>
    </row>
    <row r="229" customFormat="false" ht="15" hidden="false" customHeight="false" outlineLevel="0" collapsed="false">
      <c r="A229" s="11" t="n">
        <v>46254</v>
      </c>
      <c r="B229" s="2" t="s">
        <v>64</v>
      </c>
      <c r="C229" s="2" t="s">
        <v>167</v>
      </c>
      <c r="D229" s="2" t="s">
        <v>168</v>
      </c>
      <c r="E229" s="2" t="s">
        <v>169</v>
      </c>
      <c r="F229" s="2" t="s">
        <v>62</v>
      </c>
      <c r="G229" s="2" t="s">
        <v>170</v>
      </c>
      <c r="H229" s="2" t="s">
        <v>75</v>
      </c>
      <c r="I229" s="12" t="n">
        <v>1</v>
      </c>
      <c r="J229" s="12" t="n">
        <f aca="false">IF(COUNTIFS($D$2:$D229,$D229,$A$2:$A229,$A229)=1,1,0)</f>
        <v>1</v>
      </c>
    </row>
    <row r="230" customFormat="false" ht="15" hidden="false" customHeight="false" outlineLevel="0" collapsed="false">
      <c r="A230" s="11" t="n">
        <v>46254</v>
      </c>
      <c r="B230" s="2" t="s">
        <v>64</v>
      </c>
      <c r="C230" s="2" t="s">
        <v>167</v>
      </c>
      <c r="D230" s="2" t="s">
        <v>168</v>
      </c>
      <c r="E230" s="2" t="s">
        <v>169</v>
      </c>
      <c r="F230" s="2" t="s">
        <v>62</v>
      </c>
      <c r="G230" s="2" t="s">
        <v>168</v>
      </c>
      <c r="H230" s="2" t="s">
        <v>63</v>
      </c>
      <c r="I230" s="12" t="n">
        <v>2</v>
      </c>
      <c r="J230" s="12" t="n">
        <f aca="false">IF(COUNTIFS($D$2:$D230,$D230,$A$2:$A230,$A230)=1,1,0)</f>
        <v>0</v>
      </c>
    </row>
    <row r="231" customFormat="false" ht="15" hidden="false" customHeight="false" outlineLevel="0" collapsed="false">
      <c r="A231" s="11" t="n">
        <v>46254</v>
      </c>
      <c r="B231" s="2" t="s">
        <v>64</v>
      </c>
      <c r="C231" s="2" t="s">
        <v>239</v>
      </c>
      <c r="D231" s="2" t="s">
        <v>240</v>
      </c>
      <c r="E231" s="2" t="s">
        <v>241</v>
      </c>
      <c r="F231" s="2" t="s">
        <v>62</v>
      </c>
      <c r="G231" s="2" t="s">
        <v>242</v>
      </c>
      <c r="H231" s="2" t="s">
        <v>75</v>
      </c>
      <c r="I231" s="12" t="n">
        <v>2</v>
      </c>
      <c r="J231" s="12" t="n">
        <f aca="false">IF(COUNTIFS($D$2:$D231,$D231,$A$2:$A231,$A231)=1,1,0)</f>
        <v>1</v>
      </c>
    </row>
    <row r="232" customFormat="false" ht="15" hidden="false" customHeight="false" outlineLevel="0" collapsed="false">
      <c r="A232" s="11" t="n">
        <v>46254</v>
      </c>
      <c r="B232" s="2" t="s">
        <v>64</v>
      </c>
      <c r="C232" s="2" t="s">
        <v>65</v>
      </c>
      <c r="D232" s="2" t="s">
        <v>66</v>
      </c>
      <c r="E232" s="2" t="s">
        <v>67</v>
      </c>
      <c r="F232" s="2" t="s">
        <v>62</v>
      </c>
      <c r="G232" s="2" t="s">
        <v>110</v>
      </c>
      <c r="H232" s="2" t="s">
        <v>75</v>
      </c>
      <c r="I232" s="12" t="n">
        <v>4</v>
      </c>
      <c r="J232" s="12" t="n">
        <f aca="false">IF(COUNTIFS($D$2:$D232,$D232,$A$2:$A232,$A232)=1,1,0)</f>
        <v>1</v>
      </c>
    </row>
    <row r="233" customFormat="false" ht="15" hidden="false" customHeight="false" outlineLevel="0" collapsed="false">
      <c r="A233" s="11" t="n">
        <v>46254</v>
      </c>
      <c r="B233" s="2" t="s">
        <v>64</v>
      </c>
      <c r="C233" s="2" t="s">
        <v>65</v>
      </c>
      <c r="D233" s="2" t="s">
        <v>66</v>
      </c>
      <c r="E233" s="2" t="s">
        <v>67</v>
      </c>
      <c r="F233" s="2" t="s">
        <v>62</v>
      </c>
      <c r="G233" s="2" t="s">
        <v>66</v>
      </c>
      <c r="H233" s="2" t="s">
        <v>63</v>
      </c>
      <c r="I233" s="12" t="n">
        <v>2</v>
      </c>
      <c r="J233" s="12" t="n">
        <f aca="false">IF(COUNTIFS($D$2:$D233,$D233,$A$2:$A233,$A233)=1,1,0)</f>
        <v>0</v>
      </c>
    </row>
    <row r="234" customFormat="false" ht="15" hidden="false" customHeight="false" outlineLevel="0" collapsed="false">
      <c r="A234" s="11" t="n">
        <v>46254</v>
      </c>
      <c r="B234" s="2" t="s">
        <v>64</v>
      </c>
      <c r="C234" s="2" t="s">
        <v>141</v>
      </c>
      <c r="D234" s="2" t="s">
        <v>142</v>
      </c>
      <c r="E234" s="2" t="s">
        <v>143</v>
      </c>
      <c r="F234" s="2" t="s">
        <v>62</v>
      </c>
      <c r="G234" s="2" t="s">
        <v>144</v>
      </c>
      <c r="H234" s="2" t="s">
        <v>75</v>
      </c>
      <c r="I234" s="12" t="n">
        <v>1</v>
      </c>
      <c r="J234" s="12" t="n">
        <f aca="false">IF(COUNTIFS($D$2:$D234,$D234,$A$2:$A234,$A234)=1,1,0)</f>
        <v>1</v>
      </c>
    </row>
    <row r="235" customFormat="false" ht="15" hidden="false" customHeight="false" outlineLevel="0" collapsed="false">
      <c r="A235" s="11" t="n">
        <v>46254</v>
      </c>
      <c r="B235" s="2" t="s">
        <v>64</v>
      </c>
      <c r="C235" s="2" t="s">
        <v>120</v>
      </c>
      <c r="D235" s="2" t="s">
        <v>121</v>
      </c>
      <c r="E235" s="2" t="s">
        <v>122</v>
      </c>
      <c r="F235" s="2" t="s">
        <v>62</v>
      </c>
      <c r="G235" s="2" t="s">
        <v>123</v>
      </c>
      <c r="H235" s="2" t="s">
        <v>75</v>
      </c>
      <c r="I235" s="12" t="n">
        <v>1</v>
      </c>
      <c r="J235" s="12" t="n">
        <f aca="false">IF(COUNTIFS($D$2:$D235,$D235,$A$2:$A235,$A235)=1,1,0)</f>
        <v>1</v>
      </c>
    </row>
    <row r="236" customFormat="false" ht="15" hidden="false" customHeight="false" outlineLevel="0" collapsed="false">
      <c r="A236" s="11" t="n">
        <v>46254</v>
      </c>
      <c r="B236" s="2" t="s">
        <v>64</v>
      </c>
      <c r="C236" s="2" t="s">
        <v>71</v>
      </c>
      <c r="D236" s="2" t="s">
        <v>72</v>
      </c>
      <c r="E236" s="2" t="s">
        <v>73</v>
      </c>
      <c r="F236" s="2" t="s">
        <v>62</v>
      </c>
      <c r="G236" s="2" t="s">
        <v>76</v>
      </c>
      <c r="H236" s="2" t="s">
        <v>75</v>
      </c>
      <c r="I236" s="12" t="n">
        <v>1</v>
      </c>
      <c r="J236" s="12" t="n">
        <f aca="false">IF(COUNTIFS($D$2:$D236,$D236,$A$2:$A236,$A236)=1,1,0)</f>
        <v>1</v>
      </c>
    </row>
    <row r="237" customFormat="false" ht="15" hidden="false" customHeight="false" outlineLevel="0" collapsed="false">
      <c r="A237" s="11" t="n">
        <v>46254</v>
      </c>
      <c r="B237" s="2" t="s">
        <v>86</v>
      </c>
      <c r="C237" s="2" t="s">
        <v>264</v>
      </c>
      <c r="D237" s="2" t="s">
        <v>265</v>
      </c>
      <c r="E237" s="2" t="s">
        <v>266</v>
      </c>
      <c r="F237" s="2" t="s">
        <v>62</v>
      </c>
      <c r="G237" s="2" t="s">
        <v>286</v>
      </c>
      <c r="H237" s="2" t="s">
        <v>75</v>
      </c>
      <c r="I237" s="12" t="n">
        <v>1</v>
      </c>
      <c r="J237" s="12" t="n">
        <f aca="false">IF(COUNTIFS($D$2:$D237,$D237,$A$2:$A237,$A237)=1,1,0)</f>
        <v>1</v>
      </c>
    </row>
    <row r="238" customFormat="false" ht="15" hidden="false" customHeight="false" outlineLevel="0" collapsed="false">
      <c r="A238" s="11" t="n">
        <v>46254</v>
      </c>
      <c r="B238" s="2" t="s">
        <v>64</v>
      </c>
      <c r="C238" s="2" t="s">
        <v>59</v>
      </c>
      <c r="D238" s="2" t="s">
        <v>60</v>
      </c>
      <c r="E238" s="2" t="s">
        <v>61</v>
      </c>
      <c r="F238" s="2" t="s">
        <v>62</v>
      </c>
      <c r="G238" s="2" t="s">
        <v>77</v>
      </c>
      <c r="H238" s="2" t="s">
        <v>75</v>
      </c>
      <c r="I238" s="12" t="n">
        <v>1</v>
      </c>
      <c r="J238" s="12" t="n">
        <f aca="false">IF(COUNTIFS($D$2:$D238,$D238,$A$2:$A238,$A238)=1,1,0)</f>
        <v>1</v>
      </c>
    </row>
    <row r="239" customFormat="false" ht="15" hidden="false" customHeight="false" outlineLevel="0" collapsed="false">
      <c r="A239" s="11" t="n">
        <v>46254</v>
      </c>
      <c r="B239" s="2" t="s">
        <v>64</v>
      </c>
      <c r="C239" s="2" t="s">
        <v>287</v>
      </c>
      <c r="D239" s="2" t="s">
        <v>288</v>
      </c>
      <c r="E239" s="2" t="s">
        <v>289</v>
      </c>
      <c r="F239" s="2" t="s">
        <v>62</v>
      </c>
      <c r="G239" s="2" t="s">
        <v>290</v>
      </c>
      <c r="H239" s="2" t="s">
        <v>75</v>
      </c>
      <c r="I239" s="12" t="n">
        <v>1</v>
      </c>
      <c r="J239" s="12" t="n">
        <f aca="false">IF(COUNTIFS($D$2:$D239,$D239,$A$2:$A239,$A239)=1,1,0)</f>
        <v>1</v>
      </c>
    </row>
    <row r="240" customFormat="false" ht="15" hidden="false" customHeight="false" outlineLevel="0" collapsed="false">
      <c r="A240" s="11" t="n">
        <v>46254</v>
      </c>
      <c r="B240" s="2" t="s">
        <v>64</v>
      </c>
      <c r="C240" s="2" t="s">
        <v>291</v>
      </c>
      <c r="D240" s="2" t="s">
        <v>292</v>
      </c>
      <c r="E240" s="2" t="s">
        <v>293</v>
      </c>
      <c r="F240" s="2" t="s">
        <v>62</v>
      </c>
      <c r="G240" s="2" t="s">
        <v>294</v>
      </c>
      <c r="H240" s="2" t="s">
        <v>75</v>
      </c>
      <c r="I240" s="12" t="n">
        <v>1</v>
      </c>
      <c r="J240" s="12" t="n">
        <f aca="false">IF(COUNTIFS($D$2:$D240,$D240,$A$2:$A240,$A240)=1,1,0)</f>
        <v>1</v>
      </c>
    </row>
    <row r="241" customFormat="false" ht="15" hidden="false" customHeight="false" outlineLevel="0" collapsed="false">
      <c r="A241" s="11" t="n">
        <v>46254</v>
      </c>
      <c r="B241" s="2" t="s">
        <v>64</v>
      </c>
      <c r="C241" s="2" t="s">
        <v>102</v>
      </c>
      <c r="D241" s="2" t="s">
        <v>103</v>
      </c>
      <c r="E241" s="2" t="s">
        <v>104</v>
      </c>
      <c r="F241" s="2" t="s">
        <v>94</v>
      </c>
      <c r="G241" s="2" t="s">
        <v>295</v>
      </c>
      <c r="H241" s="2" t="s">
        <v>75</v>
      </c>
      <c r="I241" s="12" t="n">
        <v>1</v>
      </c>
      <c r="J241" s="12" t="n">
        <f aca="false">IF(COUNTIFS($D$2:$D241,$D241,$A$2:$A241,$A241)=1,1,0)</f>
        <v>1</v>
      </c>
    </row>
    <row r="242" customFormat="false" ht="15" hidden="false" customHeight="false" outlineLevel="0" collapsed="false">
      <c r="A242" s="11" t="n">
        <v>46255</v>
      </c>
      <c r="B242" s="2" t="s">
        <v>64</v>
      </c>
      <c r="C242" s="2" t="s">
        <v>145</v>
      </c>
      <c r="D242" s="2" t="s">
        <v>146</v>
      </c>
      <c r="E242" s="2" t="s">
        <v>134</v>
      </c>
      <c r="F242" s="2" t="s">
        <v>147</v>
      </c>
      <c r="G242" s="2" t="s">
        <v>146</v>
      </c>
      <c r="H242" s="2" t="s">
        <v>63</v>
      </c>
      <c r="I242" s="12" t="n">
        <v>1</v>
      </c>
      <c r="J242" s="12" t="n">
        <f aca="false">IF(COUNTIFS($D$2:$D242,$D242,$A$2:$A242,$A242)=1,1,0)</f>
        <v>1</v>
      </c>
    </row>
    <row r="243" customFormat="false" ht="15" hidden="false" customHeight="false" outlineLevel="0" collapsed="false">
      <c r="A243" s="11" t="n">
        <v>46255</v>
      </c>
      <c r="B243" s="2" t="s">
        <v>64</v>
      </c>
      <c r="C243" s="2" t="s">
        <v>296</v>
      </c>
      <c r="D243" s="2" t="s">
        <v>297</v>
      </c>
      <c r="E243" s="2" t="s">
        <v>298</v>
      </c>
      <c r="F243" s="2" t="s">
        <v>109</v>
      </c>
      <c r="G243" s="2" t="s">
        <v>299</v>
      </c>
      <c r="H243" s="2" t="s">
        <v>75</v>
      </c>
      <c r="I243" s="12" t="n">
        <v>1</v>
      </c>
      <c r="J243" s="12" t="n">
        <f aca="false">IF(COUNTIFS($D$2:$D243,$D243,$A$2:$A243,$A243)=1,1,0)</f>
        <v>1</v>
      </c>
    </row>
    <row r="244" customFormat="false" ht="15" hidden="false" customHeight="false" outlineLevel="0" collapsed="false">
      <c r="A244" s="11" t="n">
        <v>46255</v>
      </c>
      <c r="B244" s="2" t="s">
        <v>64</v>
      </c>
      <c r="C244" s="2" t="s">
        <v>296</v>
      </c>
      <c r="D244" s="2" t="s">
        <v>297</v>
      </c>
      <c r="E244" s="2" t="s">
        <v>298</v>
      </c>
      <c r="F244" s="2" t="s">
        <v>109</v>
      </c>
      <c r="G244" s="2" t="s">
        <v>297</v>
      </c>
      <c r="H244" s="2" t="s">
        <v>63</v>
      </c>
      <c r="I244" s="12" t="n">
        <v>1</v>
      </c>
      <c r="J244" s="12" t="n">
        <f aca="false">IF(COUNTIFS($D$2:$D244,$D244,$A$2:$A244,$A244)=1,1,0)</f>
        <v>0</v>
      </c>
    </row>
    <row r="245" customFormat="false" ht="15" hidden="false" customHeight="false" outlineLevel="0" collapsed="false">
      <c r="A245" s="11" t="n">
        <v>46255</v>
      </c>
      <c r="B245" s="2" t="s">
        <v>64</v>
      </c>
      <c r="C245" s="2" t="s">
        <v>128</v>
      </c>
      <c r="D245" s="2" t="s">
        <v>129</v>
      </c>
      <c r="E245" s="2" t="s">
        <v>130</v>
      </c>
      <c r="F245" s="2" t="s">
        <v>109</v>
      </c>
      <c r="G245" s="2" t="s">
        <v>131</v>
      </c>
      <c r="H245" s="2" t="s">
        <v>75</v>
      </c>
      <c r="I245" s="12" t="n">
        <v>1</v>
      </c>
      <c r="J245" s="12" t="n">
        <f aca="false">IF(COUNTIFS($D$2:$D245,$D245,$A$2:$A245,$A245)=1,1,0)</f>
        <v>1</v>
      </c>
    </row>
    <row r="246" customFormat="false" ht="15" hidden="false" customHeight="false" outlineLevel="0" collapsed="false">
      <c r="A246" s="11" t="n">
        <v>46255</v>
      </c>
      <c r="B246" s="2" t="s">
        <v>64</v>
      </c>
      <c r="C246" s="2" t="s">
        <v>99</v>
      </c>
      <c r="D246" s="2" t="s">
        <v>100</v>
      </c>
      <c r="E246" s="2" t="s">
        <v>101</v>
      </c>
      <c r="F246" s="2" t="s">
        <v>94</v>
      </c>
      <c r="G246" s="2" t="s">
        <v>100</v>
      </c>
      <c r="H246" s="2" t="s">
        <v>63</v>
      </c>
      <c r="I246" s="12" t="n">
        <v>1</v>
      </c>
      <c r="J246" s="12" t="n">
        <f aca="false">IF(COUNTIFS($D$2:$D246,$D246,$A$2:$A246,$A246)=1,1,0)</f>
        <v>1</v>
      </c>
    </row>
    <row r="247" customFormat="false" ht="15" hidden="false" customHeight="false" outlineLevel="0" collapsed="false">
      <c r="A247" s="11" t="n">
        <v>46255</v>
      </c>
      <c r="B247" s="2" t="s">
        <v>64</v>
      </c>
      <c r="C247" s="2" t="s">
        <v>239</v>
      </c>
      <c r="D247" s="2" t="s">
        <v>240</v>
      </c>
      <c r="E247" s="2" t="s">
        <v>241</v>
      </c>
      <c r="F247" s="2" t="s">
        <v>62</v>
      </c>
      <c r="G247" s="2" t="s">
        <v>242</v>
      </c>
      <c r="H247" s="2" t="s">
        <v>75</v>
      </c>
      <c r="I247" s="12" t="n">
        <v>1</v>
      </c>
      <c r="J247" s="12" t="n">
        <f aca="false">IF(COUNTIFS($D$2:$D247,$D247,$A$2:$A247,$A247)=1,1,0)</f>
        <v>1</v>
      </c>
    </row>
    <row r="248" customFormat="false" ht="15" hidden="false" customHeight="false" outlineLevel="0" collapsed="false">
      <c r="A248" s="11" t="n">
        <v>46255</v>
      </c>
      <c r="B248" s="2" t="s">
        <v>64</v>
      </c>
      <c r="C248" s="2" t="s">
        <v>141</v>
      </c>
      <c r="D248" s="2" t="s">
        <v>142</v>
      </c>
      <c r="E248" s="2" t="s">
        <v>143</v>
      </c>
      <c r="F248" s="2" t="s">
        <v>62</v>
      </c>
      <c r="G248" s="2" t="s">
        <v>144</v>
      </c>
      <c r="H248" s="2" t="s">
        <v>75</v>
      </c>
      <c r="I248" s="12" t="n">
        <v>1</v>
      </c>
      <c r="J248" s="12" t="n">
        <f aca="false">IF(COUNTIFS($D$2:$D248,$D248,$A$2:$A248,$A248)=1,1,0)</f>
        <v>1</v>
      </c>
    </row>
    <row r="249" customFormat="false" ht="15" hidden="false" customHeight="false" outlineLevel="0" collapsed="false">
      <c r="A249" s="11" t="n">
        <v>46255</v>
      </c>
      <c r="B249" s="2" t="s">
        <v>64</v>
      </c>
      <c r="C249" s="2" t="s">
        <v>78</v>
      </c>
      <c r="D249" s="2" t="s">
        <v>79</v>
      </c>
      <c r="E249" s="2" t="s">
        <v>80</v>
      </c>
      <c r="F249" s="2" t="s">
        <v>62</v>
      </c>
      <c r="G249" s="2" t="s">
        <v>81</v>
      </c>
      <c r="H249" s="2" t="s">
        <v>75</v>
      </c>
      <c r="I249" s="12" t="n">
        <v>1</v>
      </c>
      <c r="J249" s="12" t="n">
        <f aca="false">IF(COUNTIFS($D$2:$D249,$D249,$A$2:$A249,$A249)=1,1,0)</f>
        <v>1</v>
      </c>
    </row>
    <row r="250" customFormat="false" ht="15" hidden="false" customHeight="false" outlineLevel="0" collapsed="false">
      <c r="A250" s="11" t="n">
        <v>46255</v>
      </c>
      <c r="B250" s="2" t="s">
        <v>64</v>
      </c>
      <c r="C250" s="2" t="s">
        <v>244</v>
      </c>
      <c r="D250" s="2" t="s">
        <v>245</v>
      </c>
      <c r="E250" s="2" t="s">
        <v>246</v>
      </c>
      <c r="F250" s="2" t="s">
        <v>62</v>
      </c>
      <c r="G250" s="2" t="s">
        <v>245</v>
      </c>
      <c r="H250" s="2" t="s">
        <v>63</v>
      </c>
      <c r="I250" s="12" t="n">
        <v>1</v>
      </c>
      <c r="J250" s="12" t="n">
        <f aca="false">IF(COUNTIFS($D$2:$D250,$D250,$A$2:$A250,$A250)=1,1,0)</f>
        <v>1</v>
      </c>
    </row>
    <row r="251" customFormat="false" ht="15" hidden="false" customHeight="false" outlineLevel="0" collapsed="false">
      <c r="A251" s="11" t="n">
        <v>46255</v>
      </c>
      <c r="B251" s="2" t="s">
        <v>64</v>
      </c>
      <c r="C251" s="2" t="s">
        <v>269</v>
      </c>
      <c r="D251" s="2" t="s">
        <v>270</v>
      </c>
      <c r="E251" s="2" t="s">
        <v>271</v>
      </c>
      <c r="F251" s="2" t="s">
        <v>62</v>
      </c>
      <c r="G251" s="2" t="s">
        <v>270</v>
      </c>
      <c r="H251" s="2" t="s">
        <v>63</v>
      </c>
      <c r="I251" s="12" t="n">
        <v>1</v>
      </c>
      <c r="J251" s="12" t="n">
        <f aca="false">IF(COUNTIFS($D$2:$D251,$D251,$A$2:$A251,$A251)=1,1,0)</f>
        <v>1</v>
      </c>
    </row>
    <row r="252" customFormat="false" ht="15" hidden="false" customHeight="false" outlineLevel="0" collapsed="false">
      <c r="A252" s="11" t="n">
        <v>46255</v>
      </c>
      <c r="B252" s="2" t="s">
        <v>64</v>
      </c>
      <c r="C252" s="2" t="s">
        <v>68</v>
      </c>
      <c r="D252" s="2" t="s">
        <v>69</v>
      </c>
      <c r="E252" s="2" t="s">
        <v>70</v>
      </c>
      <c r="F252" s="2" t="s">
        <v>62</v>
      </c>
      <c r="G252" s="2" t="s">
        <v>178</v>
      </c>
      <c r="H252" s="2" t="s">
        <v>75</v>
      </c>
      <c r="I252" s="12" t="n">
        <v>1</v>
      </c>
      <c r="J252" s="12" t="n">
        <f aca="false">IF(COUNTIFS($D$2:$D252,$D252,$A$2:$A252,$A252)=1,1,0)</f>
        <v>1</v>
      </c>
    </row>
    <row r="253" customFormat="false" ht="15" hidden="false" customHeight="false" outlineLevel="0" collapsed="false">
      <c r="A253" s="11" t="n">
        <v>46256</v>
      </c>
      <c r="B253" s="2" t="s">
        <v>64</v>
      </c>
      <c r="C253" s="2" t="s">
        <v>145</v>
      </c>
      <c r="D253" s="2" t="s">
        <v>146</v>
      </c>
      <c r="E253" s="2" t="s">
        <v>134</v>
      </c>
      <c r="F253" s="2" t="s">
        <v>147</v>
      </c>
      <c r="G253" s="2" t="s">
        <v>146</v>
      </c>
      <c r="H253" s="2" t="s">
        <v>63</v>
      </c>
      <c r="I253" s="12" t="n">
        <v>1</v>
      </c>
      <c r="J253" s="12" t="n">
        <f aca="false">IF(COUNTIFS($D$2:$D253,$D253,$A$2:$A253,$A253)=1,1,0)</f>
        <v>1</v>
      </c>
    </row>
    <row r="254" customFormat="false" ht="15" hidden="false" customHeight="false" outlineLevel="0" collapsed="false">
      <c r="A254" s="11" t="n">
        <v>46256</v>
      </c>
      <c r="B254" s="2" t="s">
        <v>58</v>
      </c>
      <c r="C254" s="2" t="s">
        <v>145</v>
      </c>
      <c r="D254" s="2" t="s">
        <v>146</v>
      </c>
      <c r="E254" s="2" t="s">
        <v>134</v>
      </c>
      <c r="F254" s="2" t="s">
        <v>147</v>
      </c>
      <c r="G254" s="2" t="s">
        <v>300</v>
      </c>
      <c r="H254" s="2" t="s">
        <v>75</v>
      </c>
      <c r="I254" s="12" t="n">
        <v>1</v>
      </c>
      <c r="J254" s="12" t="n">
        <f aca="false">IF(COUNTIFS($D$2:$D254,$D254,$A$2:$A254,$A254)=1,1,0)</f>
        <v>0</v>
      </c>
    </row>
    <row r="255" customFormat="false" ht="15" hidden="false" customHeight="false" outlineLevel="0" collapsed="false">
      <c r="A255" s="11" t="n">
        <v>46256</v>
      </c>
      <c r="B255" s="2" t="s">
        <v>64</v>
      </c>
      <c r="C255" s="2" t="s">
        <v>99</v>
      </c>
      <c r="D255" s="2" t="s">
        <v>100</v>
      </c>
      <c r="E255" s="2" t="s">
        <v>101</v>
      </c>
      <c r="F255" s="2" t="s">
        <v>94</v>
      </c>
      <c r="G255" s="2" t="s">
        <v>100</v>
      </c>
      <c r="H255" s="2" t="s">
        <v>63</v>
      </c>
      <c r="I255" s="12" t="n">
        <v>1</v>
      </c>
      <c r="J255" s="12" t="n">
        <f aca="false">IF(COUNTIFS($D$2:$D255,$D255,$A$2:$A255,$A255)=1,1,0)</f>
        <v>1</v>
      </c>
    </row>
    <row r="256" customFormat="false" ht="15" hidden="false" customHeight="false" outlineLevel="0" collapsed="false">
      <c r="A256" s="11" t="n">
        <v>46256</v>
      </c>
      <c r="B256" s="2" t="s">
        <v>58</v>
      </c>
      <c r="C256" s="2" t="s">
        <v>99</v>
      </c>
      <c r="D256" s="2" t="s">
        <v>100</v>
      </c>
      <c r="E256" s="2" t="s">
        <v>101</v>
      </c>
      <c r="F256" s="2" t="s">
        <v>94</v>
      </c>
      <c r="G256" s="2" t="s">
        <v>100</v>
      </c>
      <c r="H256" s="2" t="s">
        <v>63</v>
      </c>
      <c r="I256" s="12" t="n">
        <v>1</v>
      </c>
      <c r="J256" s="12" t="n">
        <f aca="false">IF(COUNTIFS($D$2:$D256,$D256,$A$2:$A256,$A256)=1,1,0)</f>
        <v>0</v>
      </c>
    </row>
    <row r="257" customFormat="false" ht="15" hidden="false" customHeight="false" outlineLevel="0" collapsed="false">
      <c r="A257" s="11" t="n">
        <v>46256</v>
      </c>
      <c r="B257" s="2" t="s">
        <v>64</v>
      </c>
      <c r="C257" s="2" t="s">
        <v>301</v>
      </c>
      <c r="D257" s="2" t="s">
        <v>302</v>
      </c>
      <c r="E257" s="2" t="s">
        <v>303</v>
      </c>
      <c r="F257" s="2" t="s">
        <v>62</v>
      </c>
      <c r="G257" s="2" t="s">
        <v>302</v>
      </c>
      <c r="H257" s="2" t="s">
        <v>63</v>
      </c>
      <c r="I257" s="12" t="n">
        <v>1</v>
      </c>
      <c r="J257" s="12" t="n">
        <f aca="false">IF(COUNTIFS($D$2:$D257,$D257,$A$2:$A257,$A257)=1,1,0)</f>
        <v>1</v>
      </c>
    </row>
    <row r="258" customFormat="false" ht="15" hidden="false" customHeight="false" outlineLevel="0" collapsed="false">
      <c r="A258" s="11" t="n">
        <v>46256</v>
      </c>
      <c r="B258" s="2" t="s">
        <v>64</v>
      </c>
      <c r="C258" s="2" t="s">
        <v>304</v>
      </c>
      <c r="D258" s="2" t="s">
        <v>305</v>
      </c>
      <c r="E258" s="2" t="s">
        <v>306</v>
      </c>
      <c r="F258" s="2" t="s">
        <v>62</v>
      </c>
      <c r="G258" s="2" t="s">
        <v>305</v>
      </c>
      <c r="H258" s="2" t="s">
        <v>63</v>
      </c>
      <c r="I258" s="12" t="n">
        <v>1</v>
      </c>
      <c r="J258" s="12" t="n">
        <f aca="false">IF(COUNTIFS($D$2:$D258,$D258,$A$2:$A258,$A258)=1,1,0)</f>
        <v>1</v>
      </c>
    </row>
    <row r="259" customFormat="false" ht="15" hidden="false" customHeight="false" outlineLevel="0" collapsed="false">
      <c r="A259" s="11" t="n">
        <v>46256</v>
      </c>
      <c r="B259" s="2" t="s">
        <v>58</v>
      </c>
      <c r="C259" s="2" t="s">
        <v>304</v>
      </c>
      <c r="D259" s="2" t="s">
        <v>305</v>
      </c>
      <c r="E259" s="2" t="s">
        <v>306</v>
      </c>
      <c r="F259" s="2" t="s">
        <v>62</v>
      </c>
      <c r="G259" s="2" t="s">
        <v>305</v>
      </c>
      <c r="H259" s="2" t="s">
        <v>63</v>
      </c>
      <c r="I259" s="12" t="n">
        <v>1</v>
      </c>
      <c r="J259" s="12" t="n">
        <f aca="false">IF(COUNTIFS($D$2:$D259,$D259,$A$2:$A259,$A259)=1,1,0)</f>
        <v>0</v>
      </c>
    </row>
    <row r="260" customFormat="false" ht="15" hidden="false" customHeight="false" outlineLevel="0" collapsed="false">
      <c r="A260" s="11" t="n">
        <v>46256</v>
      </c>
      <c r="B260" s="2" t="s">
        <v>64</v>
      </c>
      <c r="C260" s="2" t="s">
        <v>307</v>
      </c>
      <c r="D260" s="2" t="s">
        <v>308</v>
      </c>
      <c r="E260" s="2" t="s">
        <v>309</v>
      </c>
      <c r="F260" s="2" t="s">
        <v>62</v>
      </c>
      <c r="G260" s="2" t="s">
        <v>308</v>
      </c>
      <c r="H260" s="2" t="s">
        <v>63</v>
      </c>
      <c r="I260" s="12" t="n">
        <v>1</v>
      </c>
      <c r="J260" s="12" t="n">
        <f aca="false">IF(COUNTIFS($D$2:$D260,$D260,$A$2:$A260,$A260)=1,1,0)</f>
        <v>1</v>
      </c>
    </row>
    <row r="261" customFormat="false" ht="15" hidden="false" customHeight="false" outlineLevel="0" collapsed="false">
      <c r="A261" s="11" t="n">
        <v>46256</v>
      </c>
      <c r="B261" s="2" t="s">
        <v>64</v>
      </c>
      <c r="C261" s="2" t="s">
        <v>167</v>
      </c>
      <c r="D261" s="2" t="s">
        <v>168</v>
      </c>
      <c r="E261" s="2" t="s">
        <v>169</v>
      </c>
      <c r="F261" s="2" t="s">
        <v>62</v>
      </c>
      <c r="G261" s="2" t="s">
        <v>170</v>
      </c>
      <c r="H261" s="2" t="s">
        <v>75</v>
      </c>
      <c r="I261" s="12" t="n">
        <v>1</v>
      </c>
      <c r="J261" s="12" t="n">
        <f aca="false">IF(COUNTIFS($D$2:$D261,$D261,$A$2:$A261,$A261)=1,1,0)</f>
        <v>1</v>
      </c>
    </row>
    <row r="262" customFormat="false" ht="15" hidden="false" customHeight="false" outlineLevel="0" collapsed="false">
      <c r="A262" s="11" t="n">
        <v>46256</v>
      </c>
      <c r="B262" s="2" t="s">
        <v>64</v>
      </c>
      <c r="C262" s="2" t="s">
        <v>244</v>
      </c>
      <c r="D262" s="2" t="s">
        <v>245</v>
      </c>
      <c r="E262" s="2" t="s">
        <v>246</v>
      </c>
      <c r="F262" s="2" t="s">
        <v>62</v>
      </c>
      <c r="G262" s="2" t="s">
        <v>245</v>
      </c>
      <c r="H262" s="2" t="s">
        <v>63</v>
      </c>
      <c r="I262" s="12" t="n">
        <v>1</v>
      </c>
      <c r="J262" s="12" t="n">
        <f aca="false">IF(COUNTIFS($D$2:$D262,$D262,$A$2:$A262,$A262)=1,1,0)</f>
        <v>1</v>
      </c>
    </row>
    <row r="263" customFormat="false" ht="15" hidden="false" customHeight="false" outlineLevel="0" collapsed="false">
      <c r="A263" s="11" t="n">
        <v>46256</v>
      </c>
      <c r="B263" s="2" t="s">
        <v>58</v>
      </c>
      <c r="C263" s="2" t="s">
        <v>310</v>
      </c>
      <c r="D263" s="2" t="s">
        <v>311</v>
      </c>
      <c r="E263" s="2" t="s">
        <v>312</v>
      </c>
      <c r="F263" s="2" t="s">
        <v>62</v>
      </c>
      <c r="G263" s="2" t="s">
        <v>311</v>
      </c>
      <c r="H263" s="2" t="s">
        <v>63</v>
      </c>
      <c r="I263" s="12" t="n">
        <v>1</v>
      </c>
      <c r="J263" s="12" t="n">
        <f aca="false">IF(COUNTIFS($D$2:$D263,$D263,$A$2:$A263,$A263)=1,1,0)</f>
        <v>1</v>
      </c>
    </row>
    <row r="264" customFormat="false" ht="15" hidden="false" customHeight="false" outlineLevel="0" collapsed="false">
      <c r="A264" s="11" t="n">
        <v>46257</v>
      </c>
      <c r="B264" s="2" t="s">
        <v>64</v>
      </c>
      <c r="C264" s="2" t="s">
        <v>145</v>
      </c>
      <c r="D264" s="2" t="s">
        <v>146</v>
      </c>
      <c r="E264" s="2" t="s">
        <v>134</v>
      </c>
      <c r="F264" s="2" t="s">
        <v>147</v>
      </c>
      <c r="G264" s="2" t="s">
        <v>313</v>
      </c>
      <c r="H264" s="2" t="s">
        <v>75</v>
      </c>
      <c r="I264" s="12" t="n">
        <v>1</v>
      </c>
      <c r="J264" s="12" t="n">
        <f aca="false">IF(COUNTIFS($D$2:$D264,$D264,$A$2:$A264,$A264)=1,1,0)</f>
        <v>1</v>
      </c>
    </row>
    <row r="265" customFormat="false" ht="15" hidden="false" customHeight="false" outlineLevel="0" collapsed="false">
      <c r="A265" s="11" t="n">
        <v>46257</v>
      </c>
      <c r="B265" s="2" t="s">
        <v>64</v>
      </c>
      <c r="C265" s="2" t="s">
        <v>145</v>
      </c>
      <c r="D265" s="2" t="s">
        <v>146</v>
      </c>
      <c r="E265" s="2" t="s">
        <v>134</v>
      </c>
      <c r="F265" s="2" t="s">
        <v>147</v>
      </c>
      <c r="G265" s="2" t="s">
        <v>146</v>
      </c>
      <c r="H265" s="2" t="s">
        <v>63</v>
      </c>
      <c r="I265" s="12" t="n">
        <v>1</v>
      </c>
      <c r="J265" s="12" t="n">
        <f aca="false">IF(COUNTIFS($D$2:$D265,$D265,$A$2:$A265,$A265)=1,1,0)</f>
        <v>0</v>
      </c>
    </row>
    <row r="266" customFormat="false" ht="15" hidden="false" customHeight="false" outlineLevel="0" collapsed="false">
      <c r="A266" s="11" t="n">
        <v>46257</v>
      </c>
      <c r="B266" s="2" t="s">
        <v>64</v>
      </c>
      <c r="C266" s="2" t="s">
        <v>239</v>
      </c>
      <c r="D266" s="2" t="s">
        <v>240</v>
      </c>
      <c r="E266" s="2" t="s">
        <v>241</v>
      </c>
      <c r="F266" s="2" t="s">
        <v>62</v>
      </c>
      <c r="G266" s="2" t="s">
        <v>242</v>
      </c>
      <c r="H266" s="2" t="s">
        <v>75</v>
      </c>
      <c r="I266" s="12" t="n">
        <v>1</v>
      </c>
      <c r="J266" s="12" t="n">
        <f aca="false">IF(COUNTIFS($D$2:$D266,$D266,$A$2:$A266,$A266)=1,1,0)</f>
        <v>1</v>
      </c>
    </row>
    <row r="267" customFormat="false" ht="15" hidden="false" customHeight="false" outlineLevel="0" collapsed="false">
      <c r="A267" s="11" t="n">
        <v>46257</v>
      </c>
      <c r="B267" s="2" t="s">
        <v>64</v>
      </c>
      <c r="C267" s="2" t="s">
        <v>78</v>
      </c>
      <c r="D267" s="2" t="s">
        <v>79</v>
      </c>
      <c r="E267" s="2" t="s">
        <v>80</v>
      </c>
      <c r="F267" s="2" t="s">
        <v>62</v>
      </c>
      <c r="G267" s="2" t="s">
        <v>81</v>
      </c>
      <c r="H267" s="2" t="s">
        <v>75</v>
      </c>
      <c r="I267" s="12" t="n">
        <v>1</v>
      </c>
      <c r="J267" s="12" t="n">
        <f aca="false">IF(COUNTIFS($D$2:$D267,$D267,$A$2:$A267,$A267)=1,1,0)</f>
        <v>1</v>
      </c>
    </row>
    <row r="268" customFormat="false" ht="15" hidden="false" customHeight="false" outlineLevel="0" collapsed="false">
      <c r="A268" s="11" t="n">
        <v>46257</v>
      </c>
      <c r="B268" s="2" t="s">
        <v>64</v>
      </c>
      <c r="C268" s="2" t="s">
        <v>91</v>
      </c>
      <c r="D268" s="2" t="s">
        <v>92</v>
      </c>
      <c r="E268" s="2" t="s">
        <v>93</v>
      </c>
      <c r="F268" s="2" t="s">
        <v>94</v>
      </c>
      <c r="G268" s="2" t="s">
        <v>92</v>
      </c>
      <c r="H268" s="2" t="s">
        <v>63</v>
      </c>
      <c r="I268" s="12" t="n">
        <v>1</v>
      </c>
      <c r="J268" s="12" t="n">
        <f aca="false">IF(COUNTIFS($D$2:$D268,$D268,$A$2:$A268,$A268)=1,1,0)</f>
        <v>1</v>
      </c>
    </row>
    <row r="269" customFormat="false" ht="15" hidden="false" customHeight="false" outlineLevel="0" collapsed="false">
      <c r="A269" s="11" t="n">
        <v>46258</v>
      </c>
      <c r="B269" s="2" t="s">
        <v>64</v>
      </c>
      <c r="C269" s="2" t="s">
        <v>281</v>
      </c>
      <c r="D269" s="2" t="s">
        <v>282</v>
      </c>
      <c r="E269" s="2" t="s">
        <v>283</v>
      </c>
      <c r="F269" s="2" t="s">
        <v>62</v>
      </c>
      <c r="G269" s="2" t="s">
        <v>284</v>
      </c>
      <c r="H269" s="2" t="s">
        <v>75</v>
      </c>
      <c r="I269" s="12" t="n">
        <v>1</v>
      </c>
      <c r="J269" s="12" t="n">
        <f aca="false">IF(COUNTIFS($D$2:$D269,$D269,$A$2:$A269,$A269)=1,1,0)</f>
        <v>1</v>
      </c>
    </row>
    <row r="270" customFormat="false" ht="15" hidden="false" customHeight="false" outlineLevel="0" collapsed="false">
      <c r="A270" s="11" t="n">
        <v>46258</v>
      </c>
      <c r="B270" s="2" t="s">
        <v>64</v>
      </c>
      <c r="C270" s="2" t="s">
        <v>120</v>
      </c>
      <c r="D270" s="2" t="s">
        <v>121</v>
      </c>
      <c r="E270" s="2" t="s">
        <v>122</v>
      </c>
      <c r="F270" s="2" t="s">
        <v>62</v>
      </c>
      <c r="G270" s="2" t="s">
        <v>123</v>
      </c>
      <c r="H270" s="2" t="s">
        <v>75</v>
      </c>
      <c r="I270" s="12" t="n">
        <v>2</v>
      </c>
      <c r="J270" s="12" t="n">
        <f aca="false">IF(COUNTIFS($D$2:$D270,$D270,$A$2:$A270,$A270)=1,1,0)</f>
        <v>1</v>
      </c>
    </row>
    <row r="271" customFormat="false" ht="15" hidden="false" customHeight="false" outlineLevel="0" collapsed="false">
      <c r="A271" s="11" t="n">
        <v>46258</v>
      </c>
      <c r="B271" s="2" t="s">
        <v>64</v>
      </c>
      <c r="C271" s="2" t="s">
        <v>199</v>
      </c>
      <c r="D271" s="2" t="s">
        <v>200</v>
      </c>
      <c r="E271" s="2" t="s">
        <v>201</v>
      </c>
      <c r="F271" s="2" t="s">
        <v>62</v>
      </c>
      <c r="G271" s="2" t="s">
        <v>314</v>
      </c>
      <c r="H271" s="2" t="s">
        <v>75</v>
      </c>
      <c r="I271" s="12" t="n">
        <v>1</v>
      </c>
      <c r="J271" s="12" t="n">
        <f aca="false">IF(COUNTIFS($D$2:$D271,$D271,$A$2:$A271,$A271)=1,1,0)</f>
        <v>1</v>
      </c>
    </row>
    <row r="272" customFormat="false" ht="15" hidden="false" customHeight="false" outlineLevel="0" collapsed="false">
      <c r="A272" s="11" t="n">
        <v>46258</v>
      </c>
      <c r="B272" s="2" t="s">
        <v>64</v>
      </c>
      <c r="C272" s="2" t="s">
        <v>78</v>
      </c>
      <c r="D272" s="2" t="s">
        <v>79</v>
      </c>
      <c r="E272" s="2" t="s">
        <v>80</v>
      </c>
      <c r="F272" s="2" t="s">
        <v>62</v>
      </c>
      <c r="G272" s="2" t="s">
        <v>81</v>
      </c>
      <c r="H272" s="2" t="s">
        <v>75</v>
      </c>
      <c r="I272" s="12" t="n">
        <v>1</v>
      </c>
      <c r="J272" s="12" t="n">
        <f aca="false">IF(COUNTIFS($D$2:$D272,$D272,$A$2:$A272,$A272)=1,1,0)</f>
        <v>1</v>
      </c>
    </row>
    <row r="273" customFormat="false" ht="15" hidden="false" customHeight="false" outlineLevel="0" collapsed="false">
      <c r="A273" s="11" t="n">
        <v>46258</v>
      </c>
      <c r="B273" s="2" t="s">
        <v>64</v>
      </c>
      <c r="C273" s="2" t="s">
        <v>68</v>
      </c>
      <c r="D273" s="2" t="s">
        <v>69</v>
      </c>
      <c r="E273" s="2" t="s">
        <v>70</v>
      </c>
      <c r="F273" s="2" t="s">
        <v>62</v>
      </c>
      <c r="G273" s="2" t="s">
        <v>178</v>
      </c>
      <c r="H273" s="2" t="s">
        <v>75</v>
      </c>
      <c r="I273" s="12" t="n">
        <v>1</v>
      </c>
      <c r="J273" s="12" t="n">
        <f aca="false">IF(COUNTIFS($D$2:$D273,$D273,$A$2:$A273,$A273)=1,1,0)</f>
        <v>1</v>
      </c>
    </row>
    <row r="274" customFormat="false" ht="15" hidden="false" customHeight="false" outlineLevel="0" collapsed="false">
      <c r="A274" s="11" t="n">
        <v>46259</v>
      </c>
      <c r="B274" s="2" t="s">
        <v>64</v>
      </c>
      <c r="C274" s="2" t="s">
        <v>128</v>
      </c>
      <c r="D274" s="2" t="s">
        <v>129</v>
      </c>
      <c r="E274" s="2" t="s">
        <v>130</v>
      </c>
      <c r="F274" s="2" t="s">
        <v>109</v>
      </c>
      <c r="G274" s="2" t="s">
        <v>131</v>
      </c>
      <c r="H274" s="2" t="s">
        <v>75</v>
      </c>
      <c r="I274" s="12" t="n">
        <v>1</v>
      </c>
      <c r="J274" s="12" t="n">
        <f aca="false">IF(COUNTIFS($D$2:$D274,$D274,$A$2:$A274,$A274)=1,1,0)</f>
        <v>1</v>
      </c>
    </row>
    <row r="275" customFormat="false" ht="15" hidden="false" customHeight="false" outlineLevel="0" collapsed="false">
      <c r="A275" s="11" t="n">
        <v>46259</v>
      </c>
      <c r="B275" s="2" t="s">
        <v>64</v>
      </c>
      <c r="C275" s="2" t="s">
        <v>315</v>
      </c>
      <c r="D275" s="2" t="s">
        <v>316</v>
      </c>
      <c r="E275" s="2" t="s">
        <v>317</v>
      </c>
      <c r="F275" s="2" t="s">
        <v>62</v>
      </c>
      <c r="G275" s="2" t="s">
        <v>318</v>
      </c>
      <c r="H275" s="2" t="s">
        <v>75</v>
      </c>
      <c r="I275" s="12" t="n">
        <v>1</v>
      </c>
      <c r="J275" s="12" t="n">
        <f aca="false">IF(COUNTIFS($D$2:$D275,$D275,$A$2:$A275,$A275)=1,1,0)</f>
        <v>1</v>
      </c>
    </row>
    <row r="276" customFormat="false" ht="15" hidden="false" customHeight="false" outlineLevel="0" collapsed="false">
      <c r="A276" s="11" t="n">
        <v>46259</v>
      </c>
      <c r="B276" s="2" t="s">
        <v>64</v>
      </c>
      <c r="C276" s="2" t="s">
        <v>65</v>
      </c>
      <c r="D276" s="2" t="s">
        <v>66</v>
      </c>
      <c r="E276" s="2" t="s">
        <v>67</v>
      </c>
      <c r="F276" s="2" t="s">
        <v>62</v>
      </c>
      <c r="G276" s="2" t="s">
        <v>110</v>
      </c>
      <c r="H276" s="2" t="s">
        <v>75</v>
      </c>
      <c r="I276" s="12" t="n">
        <v>1</v>
      </c>
      <c r="J276" s="12" t="n">
        <f aca="false">IF(COUNTIFS($D$2:$D276,$D276,$A$2:$A276,$A276)=1,1,0)</f>
        <v>1</v>
      </c>
    </row>
    <row r="277" customFormat="false" ht="15" hidden="false" customHeight="false" outlineLevel="0" collapsed="false">
      <c r="A277" s="11" t="n">
        <v>46259</v>
      </c>
      <c r="B277" s="2" t="s">
        <v>64</v>
      </c>
      <c r="C277" s="2" t="s">
        <v>120</v>
      </c>
      <c r="D277" s="2" t="s">
        <v>121</v>
      </c>
      <c r="E277" s="2" t="s">
        <v>122</v>
      </c>
      <c r="F277" s="2" t="s">
        <v>62</v>
      </c>
      <c r="G277" s="2" t="s">
        <v>123</v>
      </c>
      <c r="H277" s="2" t="s">
        <v>75</v>
      </c>
      <c r="I277" s="12" t="n">
        <v>1</v>
      </c>
      <c r="J277" s="12" t="n">
        <f aca="false">IF(COUNTIFS($D$2:$D277,$D277,$A$2:$A277,$A277)=1,1,0)</f>
        <v>1</v>
      </c>
    </row>
    <row r="278" customFormat="false" ht="15" hidden="false" customHeight="false" outlineLevel="0" collapsed="false">
      <c r="A278" s="11" t="n">
        <v>46259</v>
      </c>
      <c r="B278" s="2" t="s">
        <v>64</v>
      </c>
      <c r="C278" s="2" t="s">
        <v>78</v>
      </c>
      <c r="D278" s="2" t="s">
        <v>79</v>
      </c>
      <c r="E278" s="2" t="s">
        <v>80</v>
      </c>
      <c r="F278" s="2" t="s">
        <v>62</v>
      </c>
      <c r="G278" s="2" t="s">
        <v>81</v>
      </c>
      <c r="H278" s="2" t="s">
        <v>75</v>
      </c>
      <c r="I278" s="12" t="n">
        <v>1</v>
      </c>
      <c r="J278" s="12" t="n">
        <f aca="false">IF(COUNTIFS($D$2:$D278,$D278,$A$2:$A278,$A278)=1,1,0)</f>
        <v>1</v>
      </c>
    </row>
    <row r="279" customFormat="false" ht="15" hidden="false" customHeight="false" outlineLevel="0" collapsed="false">
      <c r="A279" s="11" t="n">
        <v>46259</v>
      </c>
      <c r="B279" s="2" t="s">
        <v>64</v>
      </c>
      <c r="C279" s="2" t="s">
        <v>68</v>
      </c>
      <c r="D279" s="2" t="s">
        <v>69</v>
      </c>
      <c r="E279" s="2" t="s">
        <v>70</v>
      </c>
      <c r="F279" s="2" t="s">
        <v>62</v>
      </c>
      <c r="G279" s="2" t="s">
        <v>178</v>
      </c>
      <c r="H279" s="2" t="s">
        <v>75</v>
      </c>
      <c r="I279" s="12" t="n">
        <v>1</v>
      </c>
      <c r="J279" s="12" t="n">
        <f aca="false">IF(COUNTIFS($D$2:$D279,$D279,$A$2:$A279,$A279)=1,1,0)</f>
        <v>1</v>
      </c>
    </row>
    <row r="280" customFormat="false" ht="15" hidden="false" customHeight="false" outlineLevel="0" collapsed="false">
      <c r="A280" s="11" t="n">
        <v>46260</v>
      </c>
      <c r="B280" s="2" t="s">
        <v>64</v>
      </c>
      <c r="C280" s="2" t="s">
        <v>296</v>
      </c>
      <c r="D280" s="2" t="s">
        <v>297</v>
      </c>
      <c r="E280" s="2" t="s">
        <v>298</v>
      </c>
      <c r="F280" s="2" t="s">
        <v>109</v>
      </c>
      <c r="G280" s="2" t="s">
        <v>299</v>
      </c>
      <c r="H280" s="2" t="s">
        <v>75</v>
      </c>
      <c r="I280" s="12" t="n">
        <v>1</v>
      </c>
      <c r="J280" s="12" t="n">
        <f aca="false">IF(COUNTIFS($D$2:$D280,$D280,$A$2:$A280,$A280)=1,1,0)</f>
        <v>1</v>
      </c>
    </row>
    <row r="281" customFormat="false" ht="15" hidden="false" customHeight="false" outlineLevel="0" collapsed="false">
      <c r="A281" s="11" t="n">
        <v>46260</v>
      </c>
      <c r="B281" s="2" t="s">
        <v>58</v>
      </c>
      <c r="C281" s="2" t="s">
        <v>99</v>
      </c>
      <c r="D281" s="2" t="s">
        <v>100</v>
      </c>
      <c r="E281" s="2" t="s">
        <v>101</v>
      </c>
      <c r="F281" s="2" t="s">
        <v>94</v>
      </c>
      <c r="G281" s="2" t="s">
        <v>100</v>
      </c>
      <c r="H281" s="2" t="s">
        <v>63</v>
      </c>
      <c r="I281" s="12" t="n">
        <v>1</v>
      </c>
      <c r="J281" s="12" t="n">
        <f aca="false">IF(COUNTIFS($D$2:$D281,$D281,$A$2:$A281,$A281)=1,1,0)</f>
        <v>1</v>
      </c>
    </row>
    <row r="282" customFormat="false" ht="15" hidden="false" customHeight="false" outlineLevel="0" collapsed="false">
      <c r="A282" s="11" t="n">
        <v>46260</v>
      </c>
      <c r="B282" s="2" t="s">
        <v>64</v>
      </c>
      <c r="C282" s="2" t="s">
        <v>319</v>
      </c>
      <c r="D282" s="2" t="s">
        <v>320</v>
      </c>
      <c r="E282" s="2" t="s">
        <v>321</v>
      </c>
      <c r="F282" s="2" t="s">
        <v>62</v>
      </c>
      <c r="G282" s="2" t="s">
        <v>322</v>
      </c>
      <c r="H282" s="2" t="s">
        <v>75</v>
      </c>
      <c r="I282" s="12" t="n">
        <v>1</v>
      </c>
      <c r="J282" s="12" t="n">
        <f aca="false">IF(COUNTIFS($D$2:$D282,$D282,$A$2:$A282,$A282)=1,1,0)</f>
        <v>1</v>
      </c>
    </row>
    <row r="283" customFormat="false" ht="15" hidden="false" customHeight="false" outlineLevel="0" collapsed="false">
      <c r="A283" s="11" t="n">
        <v>46260</v>
      </c>
      <c r="B283" s="2" t="s">
        <v>64</v>
      </c>
      <c r="C283" s="2" t="s">
        <v>59</v>
      </c>
      <c r="D283" s="2" t="s">
        <v>60</v>
      </c>
      <c r="E283" s="2" t="s">
        <v>61</v>
      </c>
      <c r="F283" s="2" t="s">
        <v>62</v>
      </c>
      <c r="G283" s="2" t="s">
        <v>77</v>
      </c>
      <c r="H283" s="2" t="s">
        <v>75</v>
      </c>
      <c r="I283" s="12" t="n">
        <v>1</v>
      </c>
      <c r="J283" s="12" t="n">
        <f aca="false">IF(COUNTIFS($D$2:$D283,$D283,$A$2:$A283,$A283)=1,1,0)</f>
        <v>1</v>
      </c>
    </row>
    <row r="284" customFormat="false" ht="15" hidden="false" customHeight="false" outlineLevel="0" collapsed="false">
      <c r="A284" s="11" t="n">
        <v>46260</v>
      </c>
      <c r="B284" s="2" t="s">
        <v>64</v>
      </c>
      <c r="C284" s="2" t="s">
        <v>78</v>
      </c>
      <c r="D284" s="2" t="s">
        <v>79</v>
      </c>
      <c r="E284" s="2" t="s">
        <v>80</v>
      </c>
      <c r="F284" s="2" t="s">
        <v>62</v>
      </c>
      <c r="G284" s="2" t="s">
        <v>81</v>
      </c>
      <c r="H284" s="2" t="s">
        <v>75</v>
      </c>
      <c r="I284" s="12" t="n">
        <v>1</v>
      </c>
      <c r="J284" s="12" t="n">
        <f aca="false">IF(COUNTIFS($D$2:$D284,$D284,$A$2:$A284,$A284)=1,1,0)</f>
        <v>1</v>
      </c>
    </row>
    <row r="285" customFormat="false" ht="15" hidden="false" customHeight="false" outlineLevel="0" collapsed="false">
      <c r="A285" s="11" t="n">
        <v>46260</v>
      </c>
      <c r="B285" s="2" t="s">
        <v>58</v>
      </c>
      <c r="C285" s="2" t="s">
        <v>78</v>
      </c>
      <c r="D285" s="2" t="s">
        <v>79</v>
      </c>
      <c r="E285" s="2" t="s">
        <v>80</v>
      </c>
      <c r="F285" s="2" t="s">
        <v>62</v>
      </c>
      <c r="G285" s="2" t="s">
        <v>79</v>
      </c>
      <c r="H285" s="2" t="s">
        <v>63</v>
      </c>
      <c r="I285" s="12" t="n">
        <v>1</v>
      </c>
      <c r="J285" s="12" t="n">
        <f aca="false">IF(COUNTIFS($D$2:$D285,$D285,$A$2:$A285,$A285)=1,1,0)</f>
        <v>0</v>
      </c>
    </row>
    <row r="286" customFormat="false" ht="15" hidden="false" customHeight="false" outlineLevel="0" collapsed="false">
      <c r="A286" s="11" t="n">
        <v>46260</v>
      </c>
      <c r="B286" s="2" t="s">
        <v>64</v>
      </c>
      <c r="C286" s="2" t="s">
        <v>202</v>
      </c>
      <c r="D286" s="2" t="s">
        <v>203</v>
      </c>
      <c r="E286" s="2" t="s">
        <v>204</v>
      </c>
      <c r="F286" s="2" t="s">
        <v>62</v>
      </c>
      <c r="G286" s="2" t="s">
        <v>205</v>
      </c>
      <c r="H286" s="2" t="s">
        <v>75</v>
      </c>
      <c r="I286" s="12" t="n">
        <v>1</v>
      </c>
      <c r="J286" s="12" t="n">
        <f aca="false">IF(COUNTIFS($D$2:$D286,$D286,$A$2:$A286,$A286)=1,1,0)</f>
        <v>1</v>
      </c>
    </row>
    <row r="287" customFormat="false" ht="15" hidden="false" customHeight="false" outlineLevel="0" collapsed="false">
      <c r="A287" s="11" t="n">
        <v>46260</v>
      </c>
      <c r="B287" s="2" t="s">
        <v>64</v>
      </c>
      <c r="C287" s="2" t="s">
        <v>68</v>
      </c>
      <c r="D287" s="2" t="s">
        <v>69</v>
      </c>
      <c r="E287" s="2" t="s">
        <v>70</v>
      </c>
      <c r="F287" s="2" t="s">
        <v>62</v>
      </c>
      <c r="G287" s="2" t="s">
        <v>178</v>
      </c>
      <c r="H287" s="2" t="s">
        <v>75</v>
      </c>
      <c r="I287" s="12" t="n">
        <v>1</v>
      </c>
      <c r="J287" s="12" t="n">
        <f aca="false">IF(COUNTIFS($D$2:$D287,$D287,$A$2:$A287,$A287)=1,1,0)</f>
        <v>1</v>
      </c>
    </row>
    <row r="288" customFormat="false" ht="15" hidden="false" customHeight="false" outlineLevel="0" collapsed="false">
      <c r="A288" s="11" t="n">
        <v>46261</v>
      </c>
      <c r="B288" s="2" t="s">
        <v>64</v>
      </c>
      <c r="C288" s="2" t="s">
        <v>128</v>
      </c>
      <c r="D288" s="2" t="s">
        <v>129</v>
      </c>
      <c r="E288" s="2" t="s">
        <v>130</v>
      </c>
      <c r="F288" s="2" t="s">
        <v>109</v>
      </c>
      <c r="G288" s="2" t="s">
        <v>131</v>
      </c>
      <c r="H288" s="2" t="s">
        <v>75</v>
      </c>
      <c r="I288" s="12" t="n">
        <v>1</v>
      </c>
      <c r="J288" s="12" t="n">
        <f aca="false">IF(COUNTIFS($D$2:$D288,$D288,$A$2:$A288,$A288)=1,1,0)</f>
        <v>1</v>
      </c>
    </row>
    <row r="289" customFormat="false" ht="15" hidden="false" customHeight="false" outlineLevel="0" collapsed="false">
      <c r="A289" s="11" t="n">
        <v>46261</v>
      </c>
      <c r="B289" s="2" t="s">
        <v>64</v>
      </c>
      <c r="C289" s="2" t="s">
        <v>65</v>
      </c>
      <c r="D289" s="2" t="s">
        <v>66</v>
      </c>
      <c r="E289" s="2" t="s">
        <v>67</v>
      </c>
      <c r="F289" s="2" t="s">
        <v>62</v>
      </c>
      <c r="G289" s="2" t="s">
        <v>110</v>
      </c>
      <c r="H289" s="2" t="s">
        <v>75</v>
      </c>
      <c r="I289" s="12" t="n">
        <v>1</v>
      </c>
      <c r="J289" s="12" t="n">
        <f aca="false">IF(COUNTIFS($D$2:$D289,$D289,$A$2:$A289,$A289)=1,1,0)</f>
        <v>1</v>
      </c>
    </row>
    <row r="290" customFormat="false" ht="15" hidden="false" customHeight="false" outlineLevel="0" collapsed="false">
      <c r="A290" s="11" t="n">
        <v>46261</v>
      </c>
      <c r="B290" s="2" t="s">
        <v>64</v>
      </c>
      <c r="C290" s="2" t="s">
        <v>95</v>
      </c>
      <c r="D290" s="2" t="s">
        <v>192</v>
      </c>
      <c r="E290" s="2" t="s">
        <v>193</v>
      </c>
      <c r="F290" s="2" t="s">
        <v>62</v>
      </c>
      <c r="G290" s="2" t="s">
        <v>194</v>
      </c>
      <c r="H290" s="2" t="s">
        <v>75</v>
      </c>
      <c r="I290" s="12" t="n">
        <v>1</v>
      </c>
      <c r="J290" s="12" t="n">
        <f aca="false">IF(COUNTIFS($D$2:$D290,$D290,$A$2:$A290,$A290)=1,1,0)</f>
        <v>1</v>
      </c>
    </row>
    <row r="291" customFormat="false" ht="15" hidden="false" customHeight="false" outlineLevel="0" collapsed="false">
      <c r="A291" s="11" t="n">
        <v>46261</v>
      </c>
      <c r="B291" s="2" t="s">
        <v>64</v>
      </c>
      <c r="C291" s="2" t="s">
        <v>323</v>
      </c>
      <c r="D291" s="2" t="s">
        <v>324</v>
      </c>
      <c r="E291" s="2" t="s">
        <v>325</v>
      </c>
      <c r="F291" s="2" t="s">
        <v>62</v>
      </c>
      <c r="G291" s="2" t="s">
        <v>326</v>
      </c>
      <c r="H291" s="2" t="s">
        <v>75</v>
      </c>
      <c r="I291" s="12" t="n">
        <v>1</v>
      </c>
      <c r="J291" s="12" t="n">
        <f aca="false">IF(COUNTIFS($D$2:$D291,$D291,$A$2:$A291,$A291)=1,1,0)</f>
        <v>1</v>
      </c>
    </row>
    <row r="292" customFormat="false" ht="15" hidden="false" customHeight="false" outlineLevel="0" collapsed="false">
      <c r="A292" s="11" t="n">
        <v>46261</v>
      </c>
      <c r="B292" s="2" t="s">
        <v>58</v>
      </c>
      <c r="C292" s="2" t="s">
        <v>78</v>
      </c>
      <c r="D292" s="2" t="s">
        <v>79</v>
      </c>
      <c r="E292" s="2" t="s">
        <v>80</v>
      </c>
      <c r="F292" s="2" t="s">
        <v>62</v>
      </c>
      <c r="G292" s="2" t="s">
        <v>79</v>
      </c>
      <c r="H292" s="2" t="s">
        <v>63</v>
      </c>
      <c r="I292" s="12" t="n">
        <v>1</v>
      </c>
      <c r="J292" s="12" t="n">
        <f aca="false">IF(COUNTIFS($D$2:$D292,$D292,$A$2:$A292,$A292)=1,1,0)</f>
        <v>1</v>
      </c>
    </row>
    <row r="293" customFormat="false" ht="15" hidden="false" customHeight="false" outlineLevel="0" collapsed="false">
      <c r="A293" s="11" t="n">
        <v>46261</v>
      </c>
      <c r="B293" s="2" t="s">
        <v>64</v>
      </c>
      <c r="C293" s="2" t="s">
        <v>202</v>
      </c>
      <c r="D293" s="2" t="s">
        <v>203</v>
      </c>
      <c r="E293" s="2" t="s">
        <v>204</v>
      </c>
      <c r="F293" s="2" t="s">
        <v>62</v>
      </c>
      <c r="G293" s="2" t="s">
        <v>205</v>
      </c>
      <c r="H293" s="2" t="s">
        <v>75</v>
      </c>
      <c r="I293" s="12" t="n">
        <v>1</v>
      </c>
      <c r="J293" s="12" t="n">
        <f aca="false">IF(COUNTIFS($D$2:$D293,$D293,$A$2:$A293,$A293)=1,1,0)</f>
        <v>1</v>
      </c>
    </row>
    <row r="294" customFormat="false" ht="15" hidden="false" customHeight="false" outlineLevel="0" collapsed="false">
      <c r="A294" s="11" t="n">
        <v>46261</v>
      </c>
      <c r="B294" s="2" t="s">
        <v>64</v>
      </c>
      <c r="C294" s="2" t="s">
        <v>68</v>
      </c>
      <c r="D294" s="2" t="s">
        <v>69</v>
      </c>
      <c r="E294" s="2" t="s">
        <v>70</v>
      </c>
      <c r="F294" s="2" t="s">
        <v>62</v>
      </c>
      <c r="G294" s="2" t="s">
        <v>178</v>
      </c>
      <c r="H294" s="2" t="s">
        <v>75</v>
      </c>
      <c r="I294" s="12" t="n">
        <v>2</v>
      </c>
      <c r="J294" s="12" t="n">
        <f aca="false">IF(COUNTIFS($D$2:$D294,$D294,$A$2:$A294,$A294)=1,1,0)</f>
        <v>1</v>
      </c>
    </row>
    <row r="295" customFormat="false" ht="15" hidden="false" customHeight="false" outlineLevel="0" collapsed="false">
      <c r="A295" s="11" t="n">
        <v>46261</v>
      </c>
      <c r="B295" s="2" t="s">
        <v>64</v>
      </c>
      <c r="C295" s="2" t="s">
        <v>155</v>
      </c>
      <c r="D295" s="2" t="s">
        <v>156</v>
      </c>
      <c r="E295" s="2" t="s">
        <v>157</v>
      </c>
      <c r="F295" s="2" t="s">
        <v>62</v>
      </c>
      <c r="G295" s="2" t="s">
        <v>158</v>
      </c>
      <c r="H295" s="2" t="s">
        <v>75</v>
      </c>
      <c r="I295" s="12" t="n">
        <v>1</v>
      </c>
      <c r="J295" s="12" t="n">
        <f aca="false">IF(COUNTIFS($D$2:$D295,$D295,$A$2:$A295,$A295)=1,1,0)</f>
        <v>1</v>
      </c>
    </row>
    <row r="296" customFormat="false" ht="15" hidden="false" customHeight="false" outlineLevel="0" collapsed="false">
      <c r="A296" s="11" t="n">
        <v>46262</v>
      </c>
      <c r="B296" s="2" t="s">
        <v>64</v>
      </c>
      <c r="C296" s="2" t="s">
        <v>327</v>
      </c>
      <c r="D296" s="2" t="s">
        <v>328</v>
      </c>
      <c r="E296" s="2" t="s">
        <v>329</v>
      </c>
      <c r="F296" s="2" t="s">
        <v>94</v>
      </c>
      <c r="G296" s="2" t="s">
        <v>330</v>
      </c>
      <c r="H296" s="2" t="s">
        <v>75</v>
      </c>
      <c r="I296" s="12" t="n">
        <v>1</v>
      </c>
      <c r="J296" s="12" t="n">
        <f aca="false">IF(COUNTIFS($D$2:$D296,$D296,$A$2:$A296,$A296)=1,1,0)</f>
        <v>1</v>
      </c>
    </row>
    <row r="297" customFormat="false" ht="15" hidden="false" customHeight="false" outlineLevel="0" collapsed="false">
      <c r="A297" s="11" t="n">
        <v>46262</v>
      </c>
      <c r="B297" s="2" t="s">
        <v>64</v>
      </c>
      <c r="C297" s="2" t="s">
        <v>99</v>
      </c>
      <c r="D297" s="2" t="s">
        <v>100</v>
      </c>
      <c r="E297" s="2" t="s">
        <v>101</v>
      </c>
      <c r="F297" s="2" t="s">
        <v>94</v>
      </c>
      <c r="G297" s="2" t="s">
        <v>331</v>
      </c>
      <c r="H297" s="2" t="s">
        <v>75</v>
      </c>
      <c r="I297" s="12" t="n">
        <v>1</v>
      </c>
      <c r="J297" s="12" t="n">
        <f aca="false">IF(COUNTIFS($D$2:$D297,$D297,$A$2:$A297,$A297)=1,1,0)</f>
        <v>1</v>
      </c>
    </row>
    <row r="298" customFormat="false" ht="15" hidden="false" customHeight="false" outlineLevel="0" collapsed="false">
      <c r="A298" s="11" t="n">
        <v>46262</v>
      </c>
      <c r="B298" s="2" t="s">
        <v>64</v>
      </c>
      <c r="C298" s="2" t="s">
        <v>99</v>
      </c>
      <c r="D298" s="2" t="s">
        <v>100</v>
      </c>
      <c r="E298" s="2" t="s">
        <v>101</v>
      </c>
      <c r="F298" s="2" t="s">
        <v>94</v>
      </c>
      <c r="G298" s="2" t="s">
        <v>100</v>
      </c>
      <c r="H298" s="2" t="s">
        <v>63</v>
      </c>
      <c r="I298" s="12" t="n">
        <v>1</v>
      </c>
      <c r="J298" s="12" t="n">
        <f aca="false">IF(COUNTIFS($D$2:$D298,$D298,$A$2:$A298,$A298)=1,1,0)</f>
        <v>0</v>
      </c>
    </row>
    <row r="299" customFormat="false" ht="15" hidden="false" customHeight="false" outlineLevel="0" collapsed="false">
      <c r="A299" s="11" t="n">
        <v>46262</v>
      </c>
      <c r="B299" s="2" t="s">
        <v>64</v>
      </c>
      <c r="C299" s="2" t="s">
        <v>65</v>
      </c>
      <c r="D299" s="2" t="s">
        <v>66</v>
      </c>
      <c r="E299" s="2" t="s">
        <v>67</v>
      </c>
      <c r="F299" s="2" t="s">
        <v>62</v>
      </c>
      <c r="G299" s="2" t="s">
        <v>110</v>
      </c>
      <c r="H299" s="2" t="s">
        <v>75</v>
      </c>
      <c r="I299" s="12" t="n">
        <v>1</v>
      </c>
      <c r="J299" s="12" t="n">
        <f aca="false">IF(COUNTIFS($D$2:$D299,$D299,$A$2:$A299,$A299)=1,1,0)</f>
        <v>1</v>
      </c>
    </row>
    <row r="300" customFormat="false" ht="15" hidden="false" customHeight="false" outlineLevel="0" collapsed="false">
      <c r="A300" s="11" t="n">
        <v>46262</v>
      </c>
      <c r="B300" s="2" t="s">
        <v>64</v>
      </c>
      <c r="C300" s="2" t="s">
        <v>332</v>
      </c>
      <c r="D300" s="2" t="s">
        <v>333</v>
      </c>
      <c r="E300" s="2" t="s">
        <v>334</v>
      </c>
      <c r="F300" s="2" t="s">
        <v>62</v>
      </c>
      <c r="G300" s="2" t="s">
        <v>335</v>
      </c>
      <c r="H300" s="2" t="s">
        <v>75</v>
      </c>
      <c r="I300" s="12" t="n">
        <v>2</v>
      </c>
      <c r="J300" s="12" t="n">
        <f aca="false">IF(COUNTIFS($D$2:$D300,$D300,$A$2:$A300,$A300)=1,1,0)</f>
        <v>1</v>
      </c>
    </row>
    <row r="301" customFormat="false" ht="15" hidden="false" customHeight="false" outlineLevel="0" collapsed="false">
      <c r="A301" s="11" t="n">
        <v>46262</v>
      </c>
      <c r="B301" s="2" t="s">
        <v>64</v>
      </c>
      <c r="C301" s="2" t="s">
        <v>59</v>
      </c>
      <c r="D301" s="2" t="s">
        <v>60</v>
      </c>
      <c r="E301" s="2" t="s">
        <v>61</v>
      </c>
      <c r="F301" s="2" t="s">
        <v>62</v>
      </c>
      <c r="G301" s="2" t="s">
        <v>77</v>
      </c>
      <c r="H301" s="2" t="s">
        <v>75</v>
      </c>
      <c r="I301" s="12" t="n">
        <v>1</v>
      </c>
      <c r="J301" s="12" t="n">
        <f aca="false">IF(COUNTIFS($D$2:$D301,$D301,$A$2:$A301,$A301)=1,1,0)</f>
        <v>1</v>
      </c>
    </row>
    <row r="302" customFormat="false" ht="15" hidden="false" customHeight="false" outlineLevel="0" collapsed="false">
      <c r="A302" s="11" t="n">
        <v>46262</v>
      </c>
      <c r="B302" s="2" t="s">
        <v>64</v>
      </c>
      <c r="C302" s="2" t="s">
        <v>78</v>
      </c>
      <c r="D302" s="2" t="s">
        <v>79</v>
      </c>
      <c r="E302" s="2" t="s">
        <v>80</v>
      </c>
      <c r="F302" s="2" t="s">
        <v>62</v>
      </c>
      <c r="G302" s="2" t="s">
        <v>81</v>
      </c>
      <c r="H302" s="2" t="s">
        <v>75</v>
      </c>
      <c r="I302" s="12" t="n">
        <v>2</v>
      </c>
      <c r="J302" s="12" t="n">
        <f aca="false">IF(COUNTIFS($D$2:$D302,$D302,$A$2:$A302,$A302)=1,1,0)</f>
        <v>1</v>
      </c>
    </row>
    <row r="303" customFormat="false" ht="15" hidden="false" customHeight="false" outlineLevel="0" collapsed="false">
      <c r="A303" s="11" t="n">
        <v>46262</v>
      </c>
      <c r="B303" s="2" t="s">
        <v>58</v>
      </c>
      <c r="C303" s="2" t="s">
        <v>78</v>
      </c>
      <c r="D303" s="2" t="s">
        <v>79</v>
      </c>
      <c r="E303" s="2" t="s">
        <v>80</v>
      </c>
      <c r="F303" s="2" t="s">
        <v>62</v>
      </c>
      <c r="G303" s="2" t="s">
        <v>79</v>
      </c>
      <c r="H303" s="2" t="s">
        <v>63</v>
      </c>
      <c r="I303" s="12" t="n">
        <v>1</v>
      </c>
      <c r="J303" s="12" t="n">
        <f aca="false">IF(COUNTIFS($D$2:$D303,$D303,$A$2:$A303,$A303)=1,1,0)</f>
        <v>0</v>
      </c>
    </row>
    <row r="304" customFormat="false" ht="15" hidden="false" customHeight="false" outlineLevel="0" collapsed="false">
      <c r="A304" s="11" t="n">
        <v>46262</v>
      </c>
      <c r="B304" s="2" t="s">
        <v>64</v>
      </c>
      <c r="C304" s="2" t="s">
        <v>152</v>
      </c>
      <c r="D304" s="2" t="s">
        <v>153</v>
      </c>
      <c r="E304" s="2" t="s">
        <v>154</v>
      </c>
      <c r="F304" s="2" t="s">
        <v>62</v>
      </c>
      <c r="G304" s="2" t="s">
        <v>268</v>
      </c>
      <c r="H304" s="2" t="s">
        <v>75</v>
      </c>
      <c r="I304" s="12" t="n">
        <v>1</v>
      </c>
      <c r="J304" s="12" t="n">
        <f aca="false">IF(COUNTIFS($D$2:$D304,$D304,$A$2:$A304,$A304)=1,1,0)</f>
        <v>1</v>
      </c>
    </row>
    <row r="305" customFormat="false" ht="15" hidden="false" customHeight="false" outlineLevel="0" collapsed="false">
      <c r="A305" s="11" t="n">
        <v>46262</v>
      </c>
      <c r="B305" s="2" t="s">
        <v>64</v>
      </c>
      <c r="C305" s="2" t="s">
        <v>102</v>
      </c>
      <c r="D305" s="2" t="s">
        <v>103</v>
      </c>
      <c r="E305" s="2" t="s">
        <v>104</v>
      </c>
      <c r="F305" s="2" t="s">
        <v>94</v>
      </c>
      <c r="G305" s="2" t="s">
        <v>336</v>
      </c>
      <c r="H305" s="2" t="s">
        <v>75</v>
      </c>
      <c r="I305" s="12" t="n">
        <v>1</v>
      </c>
      <c r="J305" s="12" t="n">
        <f aca="false">IF(COUNTIFS($D$2:$D305,$D305,$A$2:$A305,$A305)=1,1,0)</f>
        <v>1</v>
      </c>
    </row>
    <row r="306" customFormat="false" ht="15" hidden="false" customHeight="false" outlineLevel="0" collapsed="false">
      <c r="A306" s="11" t="n">
        <v>46263</v>
      </c>
      <c r="B306" s="2" t="s">
        <v>64</v>
      </c>
      <c r="C306" s="2" t="s">
        <v>332</v>
      </c>
      <c r="D306" s="2" t="s">
        <v>333</v>
      </c>
      <c r="E306" s="2" t="s">
        <v>334</v>
      </c>
      <c r="F306" s="2" t="s">
        <v>62</v>
      </c>
      <c r="G306" s="2" t="s">
        <v>335</v>
      </c>
      <c r="H306" s="2" t="s">
        <v>75</v>
      </c>
      <c r="I306" s="12" t="n">
        <v>1</v>
      </c>
      <c r="J306" s="12" t="n">
        <f aca="false">IF(COUNTIFS($D$2:$D306,$D306,$A$2:$A306,$A306)=1,1,0)</f>
        <v>1</v>
      </c>
    </row>
    <row r="307" customFormat="false" ht="15" hidden="false" customHeight="false" outlineLevel="0" collapsed="false">
      <c r="A307" s="11" t="n">
        <v>46264</v>
      </c>
      <c r="B307" s="2" t="s">
        <v>64</v>
      </c>
      <c r="C307" s="2" t="s">
        <v>319</v>
      </c>
      <c r="D307" s="2" t="s">
        <v>320</v>
      </c>
      <c r="E307" s="2" t="s">
        <v>321</v>
      </c>
      <c r="F307" s="2" t="s">
        <v>62</v>
      </c>
      <c r="G307" s="2" t="s">
        <v>322</v>
      </c>
      <c r="H307" s="2" t="s">
        <v>75</v>
      </c>
      <c r="I307" s="12" t="n">
        <v>1</v>
      </c>
      <c r="J307" s="12" t="n">
        <f aca="false">IF(COUNTIFS($D$2:$D307,$D307,$A$2:$A307,$A307)=1,1,0)</f>
        <v>1</v>
      </c>
    </row>
    <row r="308" customFormat="false" ht="15" hidden="false" customHeight="false" outlineLevel="0" collapsed="false">
      <c r="A308" s="11" t="n">
        <v>46264</v>
      </c>
      <c r="B308" s="2" t="s">
        <v>64</v>
      </c>
      <c r="C308" s="2" t="s">
        <v>319</v>
      </c>
      <c r="D308" s="2" t="s">
        <v>320</v>
      </c>
      <c r="E308" s="2" t="s">
        <v>321</v>
      </c>
      <c r="F308" s="2" t="s">
        <v>62</v>
      </c>
      <c r="G308" s="2" t="s">
        <v>320</v>
      </c>
      <c r="H308" s="2" t="s">
        <v>63</v>
      </c>
      <c r="I308" s="12" t="n">
        <v>1</v>
      </c>
      <c r="J308" s="12" t="n">
        <f aca="false">IF(COUNTIFS($D$2:$D308,$D308,$A$2:$A308,$A308)=1,1,0)</f>
        <v>0</v>
      </c>
    </row>
    <row r="309" customFormat="false" ht="15" hidden="false" customHeight="false" outlineLevel="0" collapsed="false">
      <c r="A309" s="11" t="n">
        <v>46264</v>
      </c>
      <c r="B309" s="2" t="s">
        <v>64</v>
      </c>
      <c r="C309" s="2" t="s">
        <v>281</v>
      </c>
      <c r="D309" s="2" t="s">
        <v>282</v>
      </c>
      <c r="E309" s="2" t="s">
        <v>283</v>
      </c>
      <c r="F309" s="2" t="s">
        <v>62</v>
      </c>
      <c r="G309" s="2" t="s">
        <v>284</v>
      </c>
      <c r="H309" s="2" t="s">
        <v>75</v>
      </c>
      <c r="I309" s="12" t="n">
        <v>1</v>
      </c>
      <c r="J309" s="12" t="n">
        <f aca="false">IF(COUNTIFS($D$2:$D309,$D309,$A$2:$A309,$A309)=1,1,0)</f>
        <v>1</v>
      </c>
    </row>
    <row r="310" customFormat="false" ht="15" hidden="false" customHeight="false" outlineLevel="0" collapsed="false">
      <c r="A310" s="11" t="n">
        <v>46264</v>
      </c>
      <c r="B310" s="2" t="s">
        <v>64</v>
      </c>
      <c r="C310" s="2" t="s">
        <v>332</v>
      </c>
      <c r="D310" s="2" t="s">
        <v>333</v>
      </c>
      <c r="E310" s="2" t="s">
        <v>334</v>
      </c>
      <c r="F310" s="2" t="s">
        <v>62</v>
      </c>
      <c r="G310" s="2" t="s">
        <v>335</v>
      </c>
      <c r="H310" s="2" t="s">
        <v>75</v>
      </c>
      <c r="I310" s="12" t="n">
        <v>2</v>
      </c>
      <c r="J310" s="12" t="n">
        <f aca="false">IF(COUNTIFS($D$2:$D310,$D310,$A$2:$A310,$A310)=1,1,0)</f>
        <v>1</v>
      </c>
    </row>
    <row r="311" customFormat="false" ht="15" hidden="false" customHeight="false" outlineLevel="0" collapsed="false">
      <c r="A311" s="11" t="n">
        <v>46264</v>
      </c>
      <c r="B311" s="2" t="s">
        <v>64</v>
      </c>
      <c r="C311" s="2" t="s">
        <v>337</v>
      </c>
      <c r="D311" s="2" t="s">
        <v>338</v>
      </c>
      <c r="E311" s="2" t="s">
        <v>339</v>
      </c>
      <c r="F311" s="2" t="s">
        <v>62</v>
      </c>
      <c r="G311" s="2" t="s">
        <v>340</v>
      </c>
      <c r="H311" s="2" t="s">
        <v>75</v>
      </c>
      <c r="I311" s="12" t="n">
        <v>1</v>
      </c>
      <c r="J311" s="12" t="n">
        <f aca="false">IF(COUNTIFS($D$2:$D311,$D311,$A$2:$A311,$A311)=1,1,0)</f>
        <v>1</v>
      </c>
    </row>
    <row r="312" customFormat="false" ht="15" hidden="false" customHeight="false" outlineLevel="0" collapsed="false">
      <c r="A312" s="11" t="n">
        <v>46264</v>
      </c>
      <c r="B312" s="2" t="s">
        <v>64</v>
      </c>
      <c r="C312" s="2" t="s">
        <v>112</v>
      </c>
      <c r="D312" s="2" t="s">
        <v>113</v>
      </c>
      <c r="E312" s="2" t="s">
        <v>114</v>
      </c>
      <c r="F312" s="2" t="s">
        <v>62</v>
      </c>
      <c r="G312" s="2" t="s">
        <v>115</v>
      </c>
      <c r="H312" s="2" t="s">
        <v>75</v>
      </c>
      <c r="I312" s="12" t="n">
        <v>1</v>
      </c>
      <c r="J312" s="12" t="n">
        <f aca="false">IF(COUNTIFS($D$2:$D312,$D312,$A$2:$A312,$A312)=1,1,0)</f>
        <v>1</v>
      </c>
    </row>
    <row r="313" customFormat="false" ht="15" hidden="false" customHeight="false" outlineLevel="0" collapsed="false">
      <c r="A313" s="11" t="n">
        <v>46264</v>
      </c>
      <c r="B313" s="2" t="s">
        <v>64</v>
      </c>
      <c r="C313" s="2" t="s">
        <v>78</v>
      </c>
      <c r="D313" s="2" t="s">
        <v>79</v>
      </c>
      <c r="E313" s="2" t="s">
        <v>80</v>
      </c>
      <c r="F313" s="2" t="s">
        <v>62</v>
      </c>
      <c r="G313" s="2" t="s">
        <v>81</v>
      </c>
      <c r="H313" s="2" t="s">
        <v>75</v>
      </c>
      <c r="I313" s="12" t="n">
        <v>1</v>
      </c>
      <c r="J313" s="12" t="n">
        <f aca="false">IF(COUNTIFS($D$2:$D313,$D313,$A$2:$A313,$A313)=1,1,0)</f>
        <v>1</v>
      </c>
    </row>
    <row r="314" customFormat="false" ht="15" hidden="false" customHeight="false" outlineLevel="0" collapsed="false">
      <c r="A314" s="11" t="n">
        <v>46264</v>
      </c>
      <c r="B314" s="2" t="s">
        <v>64</v>
      </c>
      <c r="C314" s="2" t="s">
        <v>202</v>
      </c>
      <c r="D314" s="2" t="s">
        <v>203</v>
      </c>
      <c r="E314" s="2" t="s">
        <v>204</v>
      </c>
      <c r="F314" s="2" t="s">
        <v>62</v>
      </c>
      <c r="G314" s="2" t="s">
        <v>205</v>
      </c>
      <c r="H314" s="2" t="s">
        <v>75</v>
      </c>
      <c r="I314" s="12" t="n">
        <v>1</v>
      </c>
      <c r="J314" s="12" t="n">
        <f aca="false">IF(COUNTIFS($D$2:$D314,$D314,$A$2:$A314,$A314)=1,1,0)</f>
        <v>1</v>
      </c>
    </row>
    <row r="315" customFormat="false" ht="15" hidden="false" customHeight="false" outlineLevel="0" collapsed="false">
      <c r="A315" s="11" t="n">
        <v>46265</v>
      </c>
      <c r="B315" s="2" t="s">
        <v>64</v>
      </c>
      <c r="C315" s="2" t="s">
        <v>145</v>
      </c>
      <c r="D315" s="2" t="s">
        <v>146</v>
      </c>
      <c r="E315" s="2" t="s">
        <v>134</v>
      </c>
      <c r="F315" s="2" t="s">
        <v>147</v>
      </c>
      <c r="G315" s="2" t="s">
        <v>146</v>
      </c>
      <c r="H315" s="2" t="s">
        <v>63</v>
      </c>
      <c r="I315" s="12" t="n">
        <v>1</v>
      </c>
      <c r="J315" s="12" t="n">
        <f aca="false">IF(COUNTIFS($D$2:$D315,$D315,$A$2:$A315,$A315)=1,1,0)</f>
        <v>1</v>
      </c>
    </row>
    <row r="316" customFormat="false" ht="15" hidden="false" customHeight="false" outlineLevel="0" collapsed="false">
      <c r="A316" s="11" t="n">
        <v>46265</v>
      </c>
      <c r="B316" s="2" t="s">
        <v>64</v>
      </c>
      <c r="C316" s="2" t="s">
        <v>99</v>
      </c>
      <c r="D316" s="2" t="s">
        <v>100</v>
      </c>
      <c r="E316" s="2" t="s">
        <v>101</v>
      </c>
      <c r="F316" s="2" t="s">
        <v>94</v>
      </c>
      <c r="G316" s="2" t="s">
        <v>331</v>
      </c>
      <c r="H316" s="2" t="s">
        <v>75</v>
      </c>
      <c r="I316" s="12" t="n">
        <v>1</v>
      </c>
      <c r="J316" s="12" t="n">
        <f aca="false">IF(COUNTIFS($D$2:$D316,$D316,$A$2:$A316,$A316)=1,1,0)</f>
        <v>1</v>
      </c>
    </row>
    <row r="317" customFormat="false" ht="15" hidden="false" customHeight="false" outlineLevel="0" collapsed="false">
      <c r="A317" s="11" t="n">
        <v>46265</v>
      </c>
      <c r="B317" s="2" t="s">
        <v>64</v>
      </c>
      <c r="C317" s="2" t="s">
        <v>304</v>
      </c>
      <c r="D317" s="2" t="s">
        <v>305</v>
      </c>
      <c r="E317" s="2" t="s">
        <v>306</v>
      </c>
      <c r="F317" s="2" t="s">
        <v>62</v>
      </c>
      <c r="G317" s="2" t="s">
        <v>341</v>
      </c>
      <c r="H317" s="2" t="s">
        <v>75</v>
      </c>
      <c r="I317" s="12" t="n">
        <v>1</v>
      </c>
      <c r="J317" s="12" t="n">
        <f aca="false">IF(COUNTIFS($D$2:$D317,$D317,$A$2:$A317,$A317)=1,1,0)</f>
        <v>1</v>
      </c>
    </row>
    <row r="318" customFormat="false" ht="15" hidden="false" customHeight="false" outlineLevel="0" collapsed="false">
      <c r="A318" s="11" t="n">
        <v>46265</v>
      </c>
      <c r="B318" s="2" t="s">
        <v>64</v>
      </c>
      <c r="C318" s="2" t="s">
        <v>167</v>
      </c>
      <c r="D318" s="2" t="s">
        <v>168</v>
      </c>
      <c r="E318" s="2" t="s">
        <v>169</v>
      </c>
      <c r="F318" s="2" t="s">
        <v>62</v>
      </c>
      <c r="G318" s="2" t="s">
        <v>170</v>
      </c>
      <c r="H318" s="2" t="s">
        <v>75</v>
      </c>
      <c r="I318" s="12" t="n">
        <v>2</v>
      </c>
      <c r="J318" s="12" t="n">
        <f aca="false">IF(COUNTIFS($D$2:$D318,$D318,$A$2:$A318,$A318)=1,1,0)</f>
        <v>1</v>
      </c>
    </row>
    <row r="319" customFormat="false" ht="15" hidden="false" customHeight="false" outlineLevel="0" collapsed="false">
      <c r="A319" s="11" t="n">
        <v>46265</v>
      </c>
      <c r="B319" s="2" t="s">
        <v>64</v>
      </c>
      <c r="C319" s="2" t="s">
        <v>239</v>
      </c>
      <c r="D319" s="2" t="s">
        <v>240</v>
      </c>
      <c r="E319" s="2" t="s">
        <v>241</v>
      </c>
      <c r="F319" s="2" t="s">
        <v>62</v>
      </c>
      <c r="G319" s="2" t="s">
        <v>242</v>
      </c>
      <c r="H319" s="2" t="s">
        <v>75</v>
      </c>
      <c r="I319" s="12" t="n">
        <v>1</v>
      </c>
      <c r="J319" s="12" t="n">
        <f aca="false">IF(COUNTIFS($D$2:$D319,$D319,$A$2:$A319,$A319)=1,1,0)</f>
        <v>1</v>
      </c>
    </row>
    <row r="320" customFormat="false" ht="15" hidden="false" customHeight="false" outlineLevel="0" collapsed="false">
      <c r="A320" s="11" t="n">
        <v>46265</v>
      </c>
      <c r="B320" s="2" t="s">
        <v>64</v>
      </c>
      <c r="C320" s="2" t="s">
        <v>65</v>
      </c>
      <c r="D320" s="2" t="s">
        <v>66</v>
      </c>
      <c r="E320" s="2" t="s">
        <v>67</v>
      </c>
      <c r="F320" s="2" t="s">
        <v>62</v>
      </c>
      <c r="G320" s="2" t="s">
        <v>110</v>
      </c>
      <c r="H320" s="2" t="s">
        <v>75</v>
      </c>
      <c r="I320" s="12" t="n">
        <v>1</v>
      </c>
      <c r="J320" s="12" t="n">
        <f aca="false">IF(COUNTIFS($D$2:$D320,$D320,$A$2:$A320,$A320)=1,1,0)</f>
        <v>1</v>
      </c>
    </row>
    <row r="321" customFormat="false" ht="15" hidden="false" customHeight="false" outlineLevel="0" collapsed="false">
      <c r="A321" s="11" t="n">
        <v>46265</v>
      </c>
      <c r="B321" s="2" t="s">
        <v>64</v>
      </c>
      <c r="C321" s="2" t="s">
        <v>120</v>
      </c>
      <c r="D321" s="2" t="s">
        <v>121</v>
      </c>
      <c r="E321" s="2" t="s">
        <v>122</v>
      </c>
      <c r="F321" s="2" t="s">
        <v>62</v>
      </c>
      <c r="G321" s="2" t="s">
        <v>123</v>
      </c>
      <c r="H321" s="2" t="s">
        <v>75</v>
      </c>
      <c r="I321" s="12" t="n">
        <v>1</v>
      </c>
      <c r="J321" s="12" t="n">
        <f aca="false">IF(COUNTIFS($D$2:$D321,$D321,$A$2:$A321,$A321)=1,1,0)</f>
        <v>1</v>
      </c>
    </row>
    <row r="322" customFormat="false" ht="15" hidden="false" customHeight="false" outlineLevel="0" collapsed="false">
      <c r="A322" s="11" t="n">
        <v>46265</v>
      </c>
      <c r="B322" s="2" t="s">
        <v>64</v>
      </c>
      <c r="C322" s="2" t="s">
        <v>59</v>
      </c>
      <c r="D322" s="2" t="s">
        <v>60</v>
      </c>
      <c r="E322" s="2" t="s">
        <v>61</v>
      </c>
      <c r="F322" s="2" t="s">
        <v>62</v>
      </c>
      <c r="G322" s="2" t="s">
        <v>77</v>
      </c>
      <c r="H322" s="2" t="s">
        <v>75</v>
      </c>
      <c r="I322" s="12" t="n">
        <v>1</v>
      </c>
      <c r="J322" s="12" t="n">
        <f aca="false">IF(COUNTIFS($D$2:$D322,$D322,$A$2:$A322,$A322)=1,1,0)</f>
        <v>1</v>
      </c>
    </row>
    <row r="323" customFormat="false" ht="15" hidden="false" customHeight="false" outlineLevel="0" collapsed="false">
      <c r="A323" s="11" t="n">
        <v>46265</v>
      </c>
      <c r="B323" s="2" t="s">
        <v>64</v>
      </c>
      <c r="C323" s="2" t="s">
        <v>202</v>
      </c>
      <c r="D323" s="2" t="s">
        <v>203</v>
      </c>
      <c r="E323" s="2" t="s">
        <v>204</v>
      </c>
      <c r="F323" s="2" t="s">
        <v>62</v>
      </c>
      <c r="G323" s="2" t="s">
        <v>205</v>
      </c>
      <c r="H323" s="2" t="s">
        <v>75</v>
      </c>
      <c r="I323" s="12" t="n">
        <v>1</v>
      </c>
      <c r="J323" s="12" t="n">
        <f aca="false">IF(COUNTIFS($D$2:$D323,$D323,$A$2:$A323,$A323)=1,1,0)</f>
        <v>1</v>
      </c>
    </row>
    <row r="324" customFormat="false" ht="15" hidden="false" customHeight="false" outlineLevel="0" collapsed="false">
      <c r="A324" s="11" t="n">
        <v>46265</v>
      </c>
      <c r="B324" s="2" t="s">
        <v>64</v>
      </c>
      <c r="C324" s="2" t="s">
        <v>68</v>
      </c>
      <c r="D324" s="2" t="s">
        <v>69</v>
      </c>
      <c r="E324" s="2" t="s">
        <v>70</v>
      </c>
      <c r="F324" s="2" t="s">
        <v>62</v>
      </c>
      <c r="G324" s="2" t="s">
        <v>178</v>
      </c>
      <c r="H324" s="2" t="s">
        <v>75</v>
      </c>
      <c r="I324" s="12" t="n">
        <v>1</v>
      </c>
      <c r="J324" s="12" t="n">
        <f aca="false">IF(COUNTIFS($D$2:$D324,$D324,$A$2:$A324,$A324)=1,1,0)</f>
        <v>1</v>
      </c>
    </row>
    <row r="325" customFormat="false" ht="15" hidden="false" customHeight="false" outlineLevel="0" collapsed="false">
      <c r="A325" s="11" t="n">
        <v>46265</v>
      </c>
      <c r="B325" s="2" t="s">
        <v>64</v>
      </c>
      <c r="C325" s="2" t="s">
        <v>163</v>
      </c>
      <c r="D325" s="2" t="s">
        <v>342</v>
      </c>
      <c r="E325" s="2" t="s">
        <v>343</v>
      </c>
      <c r="F325" s="2" t="s">
        <v>62</v>
      </c>
      <c r="G325" s="2" t="s">
        <v>344</v>
      </c>
      <c r="H325" s="2" t="s">
        <v>75</v>
      </c>
      <c r="I325" s="12" t="n">
        <v>1</v>
      </c>
      <c r="J325" s="12" t="n">
        <f aca="false">IF(COUNTIFS($D$2:$D325,$D325,$A$2:$A325,$A325)=1,1,0)</f>
        <v>1</v>
      </c>
    </row>
    <row r="326" customFormat="false" ht="15" hidden="false" customHeight="false" outlineLevel="0" collapsed="false">
      <c r="A326" s="11" t="n">
        <v>46265</v>
      </c>
      <c r="B326" s="2" t="s">
        <v>64</v>
      </c>
      <c r="C326" s="2" t="s">
        <v>91</v>
      </c>
      <c r="D326" s="2" t="s">
        <v>92</v>
      </c>
      <c r="E326" s="2" t="s">
        <v>93</v>
      </c>
      <c r="F326" s="2" t="s">
        <v>94</v>
      </c>
      <c r="G326" s="2" t="s">
        <v>92</v>
      </c>
      <c r="H326" s="2" t="s">
        <v>63</v>
      </c>
      <c r="I326" s="12" t="n">
        <v>1</v>
      </c>
      <c r="J326" s="12" t="n">
        <f aca="false">IF(COUNTIFS($D$2:$D326,$D326,$A$2:$A326,$A326)=1,1,0)</f>
        <v>1</v>
      </c>
    </row>
    <row r="327" customFormat="false" ht="15" hidden="false" customHeight="false" outlineLevel="0" collapsed="false">
      <c r="A327" s="11" t="n">
        <v>46266</v>
      </c>
      <c r="B327" s="2" t="s">
        <v>64</v>
      </c>
      <c r="C327" s="2" t="s">
        <v>99</v>
      </c>
      <c r="D327" s="2" t="s">
        <v>100</v>
      </c>
      <c r="E327" s="2" t="s">
        <v>101</v>
      </c>
      <c r="F327" s="2" t="s">
        <v>94</v>
      </c>
      <c r="G327" s="2" t="s">
        <v>100</v>
      </c>
      <c r="H327" s="2" t="s">
        <v>63</v>
      </c>
      <c r="I327" s="12" t="n">
        <v>1</v>
      </c>
      <c r="J327" s="12" t="n">
        <f aca="false">IF(COUNTIFS($D$2:$D327,$D327,$A$2:$A327,$A327)=1,1,0)</f>
        <v>1</v>
      </c>
    </row>
    <row r="328" customFormat="false" ht="15" hidden="false" customHeight="false" outlineLevel="0" collapsed="false">
      <c r="A328" s="11" t="n">
        <v>46266</v>
      </c>
      <c r="B328" s="2" t="s">
        <v>64</v>
      </c>
      <c r="C328" s="2" t="s">
        <v>213</v>
      </c>
      <c r="D328" s="2" t="s">
        <v>214</v>
      </c>
      <c r="E328" s="2" t="s">
        <v>215</v>
      </c>
      <c r="F328" s="2" t="s">
        <v>62</v>
      </c>
      <c r="G328" s="2" t="s">
        <v>214</v>
      </c>
      <c r="H328" s="2" t="s">
        <v>63</v>
      </c>
      <c r="I328" s="12" t="n">
        <v>1</v>
      </c>
      <c r="J328" s="12" t="n">
        <f aca="false">IF(COUNTIFS($D$2:$D328,$D328,$A$2:$A328,$A328)=1,1,0)</f>
        <v>1</v>
      </c>
    </row>
    <row r="329" customFormat="false" ht="15" hidden="false" customHeight="false" outlineLevel="0" collapsed="false">
      <c r="A329" s="11" t="n">
        <v>46266</v>
      </c>
      <c r="B329" s="2" t="s">
        <v>64</v>
      </c>
      <c r="C329" s="2" t="s">
        <v>65</v>
      </c>
      <c r="D329" s="2" t="s">
        <v>66</v>
      </c>
      <c r="E329" s="2" t="s">
        <v>67</v>
      </c>
      <c r="F329" s="2" t="s">
        <v>62</v>
      </c>
      <c r="G329" s="2" t="s">
        <v>110</v>
      </c>
      <c r="H329" s="2" t="s">
        <v>75</v>
      </c>
      <c r="I329" s="12" t="n">
        <v>1</v>
      </c>
      <c r="J329" s="12" t="n">
        <f aca="false">IF(COUNTIFS($D$2:$D329,$D329,$A$2:$A329,$A329)=1,1,0)</f>
        <v>1</v>
      </c>
    </row>
    <row r="330" customFormat="false" ht="15" hidden="false" customHeight="false" outlineLevel="0" collapsed="false">
      <c r="A330" s="11" t="n">
        <v>46266</v>
      </c>
      <c r="B330" s="2" t="s">
        <v>64</v>
      </c>
      <c r="C330" s="2" t="s">
        <v>65</v>
      </c>
      <c r="D330" s="2" t="s">
        <v>66</v>
      </c>
      <c r="E330" s="2" t="s">
        <v>67</v>
      </c>
      <c r="F330" s="2" t="s">
        <v>62</v>
      </c>
      <c r="G330" s="2" t="s">
        <v>66</v>
      </c>
      <c r="H330" s="2" t="s">
        <v>63</v>
      </c>
      <c r="I330" s="12" t="n">
        <v>1</v>
      </c>
      <c r="J330" s="12" t="n">
        <f aca="false">IF(COUNTIFS($D$2:$D330,$D330,$A$2:$A330,$A330)=1,1,0)</f>
        <v>0</v>
      </c>
    </row>
    <row r="331" customFormat="false" ht="15" hidden="false" customHeight="false" outlineLevel="0" collapsed="false">
      <c r="A331" s="11" t="n">
        <v>46266</v>
      </c>
      <c r="B331" s="2" t="s">
        <v>64</v>
      </c>
      <c r="C331" s="2" t="s">
        <v>171</v>
      </c>
      <c r="D331" s="2" t="s">
        <v>172</v>
      </c>
      <c r="E331" s="2" t="s">
        <v>173</v>
      </c>
      <c r="F331" s="2" t="s">
        <v>62</v>
      </c>
      <c r="G331" s="2" t="s">
        <v>172</v>
      </c>
      <c r="H331" s="2" t="s">
        <v>63</v>
      </c>
      <c r="I331" s="12" t="n">
        <v>1</v>
      </c>
      <c r="J331" s="12" t="n">
        <f aca="false">IF(COUNTIFS($D$2:$D331,$D331,$A$2:$A331,$A331)=1,1,0)</f>
        <v>1</v>
      </c>
    </row>
    <row r="332" customFormat="false" ht="15" hidden="false" customHeight="false" outlineLevel="0" collapsed="false">
      <c r="A332" s="11" t="n">
        <v>46266</v>
      </c>
      <c r="B332" s="2" t="s">
        <v>64</v>
      </c>
      <c r="C332" s="2" t="s">
        <v>345</v>
      </c>
      <c r="D332" s="2" t="s">
        <v>346</v>
      </c>
      <c r="E332" s="2" t="s">
        <v>347</v>
      </c>
      <c r="F332" s="2" t="s">
        <v>62</v>
      </c>
      <c r="G332" s="2" t="s">
        <v>348</v>
      </c>
      <c r="H332" s="2" t="s">
        <v>75</v>
      </c>
      <c r="I332" s="12" t="n">
        <v>1</v>
      </c>
      <c r="J332" s="12" t="n">
        <f aca="false">IF(COUNTIFS($D$2:$D332,$D332,$A$2:$A332,$A332)=1,1,0)</f>
        <v>1</v>
      </c>
    </row>
    <row r="333" customFormat="false" ht="15" hidden="false" customHeight="false" outlineLevel="0" collapsed="false">
      <c r="A333" s="11" t="n">
        <v>46266</v>
      </c>
      <c r="B333" s="2" t="s">
        <v>64</v>
      </c>
      <c r="C333" s="2" t="s">
        <v>180</v>
      </c>
      <c r="D333" s="2" t="s">
        <v>181</v>
      </c>
      <c r="E333" s="2" t="s">
        <v>182</v>
      </c>
      <c r="F333" s="2" t="s">
        <v>62</v>
      </c>
      <c r="G333" s="2" t="s">
        <v>183</v>
      </c>
      <c r="H333" s="2" t="s">
        <v>75</v>
      </c>
      <c r="I333" s="12" t="n">
        <v>1</v>
      </c>
      <c r="J333" s="12" t="n">
        <f aca="false">IF(COUNTIFS($D$2:$D333,$D333,$A$2:$A333,$A333)=1,1,0)</f>
        <v>1</v>
      </c>
    </row>
    <row r="334" customFormat="false" ht="15" hidden="false" customHeight="false" outlineLevel="0" collapsed="false">
      <c r="A334" s="11" t="n">
        <v>46266</v>
      </c>
      <c r="B334" s="2" t="s">
        <v>64</v>
      </c>
      <c r="C334" s="2" t="s">
        <v>174</v>
      </c>
      <c r="D334" s="2" t="s">
        <v>175</v>
      </c>
      <c r="E334" s="2" t="s">
        <v>176</v>
      </c>
      <c r="F334" s="2" t="s">
        <v>62</v>
      </c>
      <c r="G334" s="2" t="s">
        <v>177</v>
      </c>
      <c r="H334" s="2" t="s">
        <v>75</v>
      </c>
      <c r="I334" s="12" t="n">
        <v>1</v>
      </c>
      <c r="J334" s="12" t="n">
        <f aca="false">IF(COUNTIFS($D$2:$D334,$D334,$A$2:$A334,$A334)=1,1,0)</f>
        <v>1</v>
      </c>
    </row>
    <row r="335" customFormat="false" ht="15" hidden="false" customHeight="false" outlineLevel="0" collapsed="false">
      <c r="A335" s="11" t="n">
        <v>46266</v>
      </c>
      <c r="B335" s="2" t="s">
        <v>64</v>
      </c>
      <c r="C335" s="2" t="s">
        <v>91</v>
      </c>
      <c r="D335" s="2" t="s">
        <v>92</v>
      </c>
      <c r="E335" s="2" t="s">
        <v>93</v>
      </c>
      <c r="F335" s="2" t="s">
        <v>94</v>
      </c>
      <c r="G335" s="2" t="s">
        <v>140</v>
      </c>
      <c r="H335" s="2" t="s">
        <v>75</v>
      </c>
      <c r="I335" s="12" t="n">
        <v>1</v>
      </c>
      <c r="J335" s="12" t="n">
        <f aca="false">IF(COUNTIFS($D$2:$D335,$D335,$A$2:$A335,$A335)=1,1,0)</f>
        <v>1</v>
      </c>
    </row>
    <row r="336" customFormat="false" ht="15" hidden="false" customHeight="false" outlineLevel="0" collapsed="false">
      <c r="A336" s="11" t="n">
        <v>46267</v>
      </c>
      <c r="B336" s="2" t="s">
        <v>64</v>
      </c>
      <c r="C336" s="2" t="s">
        <v>319</v>
      </c>
      <c r="D336" s="2" t="s">
        <v>320</v>
      </c>
      <c r="E336" s="2" t="s">
        <v>321</v>
      </c>
      <c r="F336" s="2" t="s">
        <v>62</v>
      </c>
      <c r="G336" s="2" t="s">
        <v>322</v>
      </c>
      <c r="H336" s="2" t="s">
        <v>75</v>
      </c>
      <c r="I336" s="12" t="n">
        <v>1</v>
      </c>
      <c r="J336" s="12" t="n">
        <f aca="false">IF(COUNTIFS($D$2:$D336,$D336,$A$2:$A336,$A336)=1,1,0)</f>
        <v>1</v>
      </c>
    </row>
    <row r="337" customFormat="false" ht="15" hidden="false" customHeight="false" outlineLevel="0" collapsed="false">
      <c r="A337" s="11" t="n">
        <v>46267</v>
      </c>
      <c r="B337" s="2" t="s">
        <v>64</v>
      </c>
      <c r="C337" s="2" t="s">
        <v>319</v>
      </c>
      <c r="D337" s="2" t="s">
        <v>320</v>
      </c>
      <c r="E337" s="2" t="s">
        <v>321</v>
      </c>
      <c r="F337" s="2" t="s">
        <v>62</v>
      </c>
      <c r="G337" s="2" t="s">
        <v>320</v>
      </c>
      <c r="H337" s="2" t="s">
        <v>63</v>
      </c>
      <c r="I337" s="12" t="n">
        <v>1</v>
      </c>
      <c r="J337" s="12" t="n">
        <f aca="false">IF(COUNTIFS($D$2:$D337,$D337,$A$2:$A337,$A337)=1,1,0)</f>
        <v>0</v>
      </c>
    </row>
    <row r="338" customFormat="false" ht="15" hidden="false" customHeight="false" outlineLevel="0" collapsed="false">
      <c r="A338" s="11" t="n">
        <v>46267</v>
      </c>
      <c r="B338" s="2" t="s">
        <v>64</v>
      </c>
      <c r="C338" s="2" t="s">
        <v>332</v>
      </c>
      <c r="D338" s="2" t="s">
        <v>333</v>
      </c>
      <c r="E338" s="2" t="s">
        <v>334</v>
      </c>
      <c r="F338" s="2" t="s">
        <v>62</v>
      </c>
      <c r="G338" s="2" t="s">
        <v>335</v>
      </c>
      <c r="H338" s="2" t="s">
        <v>75</v>
      </c>
      <c r="I338" s="12" t="n">
        <v>1</v>
      </c>
      <c r="J338" s="12" t="n">
        <f aca="false">IF(COUNTIFS($D$2:$D338,$D338,$A$2:$A338,$A338)=1,1,0)</f>
        <v>1</v>
      </c>
    </row>
    <row r="339" customFormat="false" ht="15" hidden="false" customHeight="false" outlineLevel="0" collapsed="false">
      <c r="A339" s="11" t="n">
        <v>46267</v>
      </c>
      <c r="B339" s="2" t="s">
        <v>64</v>
      </c>
      <c r="C339" s="2" t="s">
        <v>59</v>
      </c>
      <c r="D339" s="2" t="s">
        <v>60</v>
      </c>
      <c r="E339" s="2" t="s">
        <v>61</v>
      </c>
      <c r="F339" s="2" t="s">
        <v>62</v>
      </c>
      <c r="G339" s="2" t="s">
        <v>77</v>
      </c>
      <c r="H339" s="2" t="s">
        <v>75</v>
      </c>
      <c r="I339" s="12" t="n">
        <v>1</v>
      </c>
      <c r="J339" s="12" t="n">
        <f aca="false">IF(COUNTIFS($D$2:$D339,$D339,$A$2:$A339,$A339)=1,1,0)</f>
        <v>1</v>
      </c>
    </row>
    <row r="340" customFormat="false" ht="15" hidden="false" customHeight="false" outlineLevel="0" collapsed="false">
      <c r="A340" s="11" t="n">
        <v>46267</v>
      </c>
      <c r="B340" s="2" t="s">
        <v>64</v>
      </c>
      <c r="C340" s="2" t="s">
        <v>91</v>
      </c>
      <c r="D340" s="2" t="s">
        <v>92</v>
      </c>
      <c r="E340" s="2" t="s">
        <v>93</v>
      </c>
      <c r="F340" s="2" t="s">
        <v>94</v>
      </c>
      <c r="G340" s="2" t="s">
        <v>140</v>
      </c>
      <c r="H340" s="2" t="s">
        <v>75</v>
      </c>
      <c r="I340" s="12" t="n">
        <v>1</v>
      </c>
      <c r="J340" s="12" t="n">
        <f aca="false">IF(COUNTIFS($D$2:$D340,$D340,$A$2:$A340,$A340)=1,1,0)</f>
        <v>1</v>
      </c>
    </row>
    <row r="341" customFormat="false" ht="15" hidden="false" customHeight="false" outlineLevel="0" collapsed="false">
      <c r="A341" s="11" t="n">
        <v>46268</v>
      </c>
      <c r="B341" s="2" t="s">
        <v>64</v>
      </c>
      <c r="C341" s="2" t="s">
        <v>145</v>
      </c>
      <c r="D341" s="2" t="s">
        <v>146</v>
      </c>
      <c r="E341" s="2" t="s">
        <v>134</v>
      </c>
      <c r="F341" s="2" t="s">
        <v>147</v>
      </c>
      <c r="G341" s="2" t="s">
        <v>146</v>
      </c>
      <c r="H341" s="2" t="s">
        <v>63</v>
      </c>
      <c r="I341" s="12" t="n">
        <v>1</v>
      </c>
      <c r="J341" s="12" t="n">
        <f aca="false">IF(COUNTIFS($D$2:$D341,$D341,$A$2:$A341,$A341)=1,1,0)</f>
        <v>1</v>
      </c>
    </row>
    <row r="342" customFormat="false" ht="15" hidden="false" customHeight="false" outlineLevel="0" collapsed="false">
      <c r="A342" s="11" t="n">
        <v>46268</v>
      </c>
      <c r="B342" s="2" t="s">
        <v>64</v>
      </c>
      <c r="C342" s="2" t="s">
        <v>128</v>
      </c>
      <c r="D342" s="2" t="s">
        <v>129</v>
      </c>
      <c r="E342" s="2" t="s">
        <v>130</v>
      </c>
      <c r="F342" s="2" t="s">
        <v>109</v>
      </c>
      <c r="G342" s="2" t="s">
        <v>131</v>
      </c>
      <c r="H342" s="2" t="s">
        <v>75</v>
      </c>
      <c r="I342" s="12" t="n">
        <v>1</v>
      </c>
      <c r="J342" s="12" t="n">
        <f aca="false">IF(COUNTIFS($D$2:$D342,$D342,$A$2:$A342,$A342)=1,1,0)</f>
        <v>1</v>
      </c>
    </row>
    <row r="343" customFormat="false" ht="15" hidden="false" customHeight="false" outlineLevel="0" collapsed="false">
      <c r="A343" s="11" t="n">
        <v>46268</v>
      </c>
      <c r="B343" s="2" t="s">
        <v>64</v>
      </c>
      <c r="C343" s="2" t="s">
        <v>349</v>
      </c>
      <c r="D343" s="2" t="s">
        <v>350</v>
      </c>
      <c r="E343" s="2" t="s">
        <v>351</v>
      </c>
      <c r="F343" s="2" t="s">
        <v>62</v>
      </c>
      <c r="G343" s="2" t="s">
        <v>352</v>
      </c>
      <c r="H343" s="2" t="s">
        <v>75</v>
      </c>
      <c r="I343" s="12" t="n">
        <v>1</v>
      </c>
      <c r="J343" s="12" t="n">
        <f aca="false">IF(COUNTIFS($D$2:$D343,$D343,$A$2:$A343,$A343)=1,1,0)</f>
        <v>1</v>
      </c>
    </row>
    <row r="344" customFormat="false" ht="15" hidden="false" customHeight="false" outlineLevel="0" collapsed="false">
      <c r="A344" s="11" t="n">
        <v>46268</v>
      </c>
      <c r="B344" s="2" t="s">
        <v>64</v>
      </c>
      <c r="C344" s="2" t="s">
        <v>65</v>
      </c>
      <c r="D344" s="2" t="s">
        <v>66</v>
      </c>
      <c r="E344" s="2" t="s">
        <v>67</v>
      </c>
      <c r="F344" s="2" t="s">
        <v>62</v>
      </c>
      <c r="G344" s="2" t="s">
        <v>110</v>
      </c>
      <c r="H344" s="2" t="s">
        <v>75</v>
      </c>
      <c r="I344" s="12" t="n">
        <v>1</v>
      </c>
      <c r="J344" s="12" t="n">
        <f aca="false">IF(COUNTIFS($D$2:$D344,$D344,$A$2:$A344,$A344)=1,1,0)</f>
        <v>1</v>
      </c>
    </row>
    <row r="345" customFormat="false" ht="15" hidden="false" customHeight="false" outlineLevel="0" collapsed="false">
      <c r="A345" s="11" t="n">
        <v>46268</v>
      </c>
      <c r="B345" s="2" t="s">
        <v>64</v>
      </c>
      <c r="C345" s="2" t="s">
        <v>65</v>
      </c>
      <c r="D345" s="2" t="s">
        <v>66</v>
      </c>
      <c r="E345" s="2" t="s">
        <v>67</v>
      </c>
      <c r="F345" s="2" t="s">
        <v>62</v>
      </c>
      <c r="G345" s="2" t="s">
        <v>66</v>
      </c>
      <c r="H345" s="2" t="s">
        <v>63</v>
      </c>
      <c r="I345" s="12" t="n">
        <v>1</v>
      </c>
      <c r="J345" s="12" t="n">
        <f aca="false">IF(COUNTIFS($D$2:$D345,$D345,$A$2:$A345,$A345)=1,1,0)</f>
        <v>0</v>
      </c>
    </row>
    <row r="346" customFormat="false" ht="15" hidden="false" customHeight="false" outlineLevel="0" collapsed="false">
      <c r="A346" s="11" t="n">
        <v>46268</v>
      </c>
      <c r="B346" s="2" t="s">
        <v>64</v>
      </c>
      <c r="C346" s="2" t="s">
        <v>95</v>
      </c>
      <c r="D346" s="2" t="s">
        <v>192</v>
      </c>
      <c r="E346" s="2" t="s">
        <v>193</v>
      </c>
      <c r="F346" s="2" t="s">
        <v>62</v>
      </c>
      <c r="G346" s="2" t="s">
        <v>353</v>
      </c>
      <c r="H346" s="2" t="s">
        <v>75</v>
      </c>
      <c r="I346" s="12" t="n">
        <v>1</v>
      </c>
      <c r="J346" s="12" t="n">
        <f aca="false">IF(COUNTIFS($D$2:$D346,$D346,$A$2:$A346,$A346)=1,1,0)</f>
        <v>1</v>
      </c>
    </row>
    <row r="347" customFormat="false" ht="15" hidden="false" customHeight="false" outlineLevel="0" collapsed="false">
      <c r="A347" s="11" t="n">
        <v>46268</v>
      </c>
      <c r="B347" s="2" t="s">
        <v>64</v>
      </c>
      <c r="C347" s="2" t="s">
        <v>95</v>
      </c>
      <c r="D347" s="2" t="s">
        <v>192</v>
      </c>
      <c r="E347" s="2" t="s">
        <v>193</v>
      </c>
      <c r="F347" s="2" t="s">
        <v>62</v>
      </c>
      <c r="G347" s="2" t="s">
        <v>194</v>
      </c>
      <c r="H347" s="2" t="s">
        <v>75</v>
      </c>
      <c r="I347" s="12" t="n">
        <v>1</v>
      </c>
      <c r="J347" s="12" t="n">
        <f aca="false">IF(COUNTIFS($D$2:$D347,$D347,$A$2:$A347,$A347)=1,1,0)</f>
        <v>0</v>
      </c>
    </row>
    <row r="348" customFormat="false" ht="15" hidden="false" customHeight="false" outlineLevel="0" collapsed="false">
      <c r="A348" s="11" t="n">
        <v>46268</v>
      </c>
      <c r="B348" s="2" t="s">
        <v>64</v>
      </c>
      <c r="C348" s="2" t="s">
        <v>120</v>
      </c>
      <c r="D348" s="2" t="s">
        <v>121</v>
      </c>
      <c r="E348" s="2" t="s">
        <v>122</v>
      </c>
      <c r="F348" s="2" t="s">
        <v>62</v>
      </c>
      <c r="G348" s="2" t="s">
        <v>123</v>
      </c>
      <c r="H348" s="2" t="s">
        <v>75</v>
      </c>
      <c r="I348" s="12" t="n">
        <v>2</v>
      </c>
      <c r="J348" s="12" t="n">
        <f aca="false">IF(COUNTIFS($D$2:$D348,$D348,$A$2:$A348,$A348)=1,1,0)</f>
        <v>1</v>
      </c>
    </row>
    <row r="349" customFormat="false" ht="15" hidden="false" customHeight="false" outlineLevel="0" collapsed="false">
      <c r="A349" s="11" t="n">
        <v>46268</v>
      </c>
      <c r="B349" s="2" t="s">
        <v>64</v>
      </c>
      <c r="C349" s="2" t="s">
        <v>120</v>
      </c>
      <c r="D349" s="2" t="s">
        <v>121</v>
      </c>
      <c r="E349" s="2" t="s">
        <v>122</v>
      </c>
      <c r="F349" s="2" t="s">
        <v>62</v>
      </c>
      <c r="G349" s="2" t="s">
        <v>121</v>
      </c>
      <c r="H349" s="2" t="s">
        <v>63</v>
      </c>
      <c r="I349" s="12" t="n">
        <v>1</v>
      </c>
      <c r="J349" s="12" t="n">
        <f aca="false">IF(COUNTIFS($D$2:$D349,$D349,$A$2:$A349,$A349)=1,1,0)</f>
        <v>0</v>
      </c>
    </row>
    <row r="350" customFormat="false" ht="15" hidden="false" customHeight="false" outlineLevel="0" collapsed="false">
      <c r="A350" s="11" t="n">
        <v>46268</v>
      </c>
      <c r="B350" s="2" t="s">
        <v>64</v>
      </c>
      <c r="C350" s="2" t="s">
        <v>71</v>
      </c>
      <c r="D350" s="2" t="s">
        <v>72</v>
      </c>
      <c r="E350" s="2" t="s">
        <v>73</v>
      </c>
      <c r="F350" s="2" t="s">
        <v>62</v>
      </c>
      <c r="G350" s="2" t="s">
        <v>76</v>
      </c>
      <c r="H350" s="2" t="s">
        <v>75</v>
      </c>
      <c r="I350" s="12" t="n">
        <v>1</v>
      </c>
      <c r="J350" s="12" t="n">
        <f aca="false">IF(COUNTIFS($D$2:$D350,$D350,$A$2:$A350,$A350)=1,1,0)</f>
        <v>1</v>
      </c>
    </row>
    <row r="351" customFormat="false" ht="15" hidden="false" customHeight="false" outlineLevel="0" collapsed="false">
      <c r="A351" s="11" t="n">
        <v>46268</v>
      </c>
      <c r="B351" s="2" t="s">
        <v>64</v>
      </c>
      <c r="C351" s="2" t="s">
        <v>78</v>
      </c>
      <c r="D351" s="2" t="s">
        <v>79</v>
      </c>
      <c r="E351" s="2" t="s">
        <v>80</v>
      </c>
      <c r="F351" s="2" t="s">
        <v>62</v>
      </c>
      <c r="G351" s="2" t="s">
        <v>81</v>
      </c>
      <c r="H351" s="2" t="s">
        <v>75</v>
      </c>
      <c r="I351" s="12" t="n">
        <v>3</v>
      </c>
      <c r="J351" s="12" t="n">
        <f aca="false">IF(COUNTIFS($D$2:$D351,$D351,$A$2:$A351,$A351)=1,1,0)</f>
        <v>1</v>
      </c>
    </row>
    <row r="352" customFormat="false" ht="15" hidden="false" customHeight="false" outlineLevel="0" collapsed="false">
      <c r="A352" s="11" t="n">
        <v>46268</v>
      </c>
      <c r="B352" s="2" t="s">
        <v>64</v>
      </c>
      <c r="C352" s="2" t="s">
        <v>163</v>
      </c>
      <c r="D352" s="2" t="s">
        <v>342</v>
      </c>
      <c r="E352" s="2" t="s">
        <v>343</v>
      </c>
      <c r="F352" s="2" t="s">
        <v>62</v>
      </c>
      <c r="G352" s="2" t="s">
        <v>344</v>
      </c>
      <c r="H352" s="2" t="s">
        <v>75</v>
      </c>
      <c r="I352" s="12" t="n">
        <v>1</v>
      </c>
      <c r="J352" s="12" t="n">
        <f aca="false">IF(COUNTIFS($D$2:$D352,$D352,$A$2:$A352,$A352)=1,1,0)</f>
        <v>1</v>
      </c>
    </row>
    <row r="353" customFormat="false" ht="15" hidden="false" customHeight="false" outlineLevel="0" collapsed="false">
      <c r="A353" s="11" t="n">
        <v>46268</v>
      </c>
      <c r="B353" s="2" t="s">
        <v>64</v>
      </c>
      <c r="C353" s="2" t="s">
        <v>91</v>
      </c>
      <c r="D353" s="2" t="s">
        <v>92</v>
      </c>
      <c r="E353" s="2" t="s">
        <v>93</v>
      </c>
      <c r="F353" s="2" t="s">
        <v>94</v>
      </c>
      <c r="G353" s="2" t="s">
        <v>92</v>
      </c>
      <c r="H353" s="2" t="s">
        <v>63</v>
      </c>
      <c r="I353" s="12" t="n">
        <v>1</v>
      </c>
      <c r="J353" s="12" t="n">
        <f aca="false">IF(COUNTIFS($D$2:$D353,$D353,$A$2:$A353,$A353)=1,1,0)</f>
        <v>1</v>
      </c>
    </row>
    <row r="354" customFormat="false" ht="15" hidden="false" customHeight="false" outlineLevel="0" collapsed="false">
      <c r="A354" s="11" t="n">
        <v>46269</v>
      </c>
      <c r="B354" s="2" t="s">
        <v>64</v>
      </c>
      <c r="C354" s="2" t="s">
        <v>159</v>
      </c>
      <c r="D354" s="2" t="s">
        <v>160</v>
      </c>
      <c r="E354" s="2" t="s">
        <v>161</v>
      </c>
      <c r="F354" s="2" t="s">
        <v>62</v>
      </c>
      <c r="G354" s="2" t="s">
        <v>162</v>
      </c>
      <c r="H354" s="2" t="s">
        <v>75</v>
      </c>
      <c r="I354" s="12" t="n">
        <v>1</v>
      </c>
      <c r="J354" s="12" t="n">
        <f aca="false">IF(COUNTIFS($D$2:$D354,$D354,$A$2:$A354,$A354)=1,1,0)</f>
        <v>1</v>
      </c>
    </row>
    <row r="355" customFormat="false" ht="15" hidden="false" customHeight="false" outlineLevel="0" collapsed="false">
      <c r="A355" s="11" t="n">
        <v>46269</v>
      </c>
      <c r="B355" s="2" t="s">
        <v>64</v>
      </c>
      <c r="C355" s="2" t="s">
        <v>65</v>
      </c>
      <c r="D355" s="2" t="s">
        <v>66</v>
      </c>
      <c r="E355" s="2" t="s">
        <v>67</v>
      </c>
      <c r="F355" s="2" t="s">
        <v>62</v>
      </c>
      <c r="G355" s="2" t="s">
        <v>110</v>
      </c>
      <c r="H355" s="2" t="s">
        <v>75</v>
      </c>
      <c r="I355" s="12" t="n">
        <v>2</v>
      </c>
      <c r="J355" s="12" t="n">
        <f aca="false">IF(COUNTIFS($D$2:$D355,$D355,$A$2:$A355,$A355)=1,1,0)</f>
        <v>1</v>
      </c>
    </row>
    <row r="356" customFormat="false" ht="15" hidden="false" customHeight="false" outlineLevel="0" collapsed="false">
      <c r="A356" s="11" t="n">
        <v>46269</v>
      </c>
      <c r="B356" s="2" t="s">
        <v>64</v>
      </c>
      <c r="C356" s="2" t="s">
        <v>332</v>
      </c>
      <c r="D356" s="2" t="s">
        <v>333</v>
      </c>
      <c r="E356" s="2" t="s">
        <v>334</v>
      </c>
      <c r="F356" s="2" t="s">
        <v>62</v>
      </c>
      <c r="G356" s="2" t="s">
        <v>335</v>
      </c>
      <c r="H356" s="2" t="s">
        <v>75</v>
      </c>
      <c r="I356" s="12" t="n">
        <v>1</v>
      </c>
      <c r="J356" s="12" t="n">
        <f aca="false">IF(COUNTIFS($D$2:$D356,$D356,$A$2:$A356,$A356)=1,1,0)</f>
        <v>1</v>
      </c>
    </row>
    <row r="357" customFormat="false" ht="15" hidden="false" customHeight="false" outlineLevel="0" collapsed="false">
      <c r="A357" s="11" t="n">
        <v>46269</v>
      </c>
      <c r="B357" s="2" t="s">
        <v>64</v>
      </c>
      <c r="C357" s="2" t="s">
        <v>59</v>
      </c>
      <c r="D357" s="2" t="s">
        <v>60</v>
      </c>
      <c r="E357" s="2" t="s">
        <v>61</v>
      </c>
      <c r="F357" s="2" t="s">
        <v>62</v>
      </c>
      <c r="G357" s="2" t="s">
        <v>77</v>
      </c>
      <c r="H357" s="2" t="s">
        <v>75</v>
      </c>
      <c r="I357" s="12" t="n">
        <v>1</v>
      </c>
      <c r="J357" s="12" t="n">
        <f aca="false">IF(COUNTIFS($D$2:$D357,$D357,$A$2:$A357,$A357)=1,1,0)</f>
        <v>1</v>
      </c>
    </row>
    <row r="358" customFormat="false" ht="15" hidden="false" customHeight="false" outlineLevel="0" collapsed="false">
      <c r="A358" s="11" t="n">
        <v>46269</v>
      </c>
      <c r="B358" s="2" t="s">
        <v>64</v>
      </c>
      <c r="C358" s="2" t="s">
        <v>68</v>
      </c>
      <c r="D358" s="2" t="s">
        <v>69</v>
      </c>
      <c r="E358" s="2" t="s">
        <v>70</v>
      </c>
      <c r="F358" s="2" t="s">
        <v>62</v>
      </c>
      <c r="G358" s="2" t="s">
        <v>178</v>
      </c>
      <c r="H358" s="2" t="s">
        <v>75</v>
      </c>
      <c r="I358" s="12" t="n">
        <v>1</v>
      </c>
      <c r="J358" s="12" t="n">
        <f aca="false">IF(COUNTIFS($D$2:$D358,$D358,$A$2:$A358,$A358)=1,1,0)</f>
        <v>1</v>
      </c>
    </row>
    <row r="359" customFormat="false" ht="15" hidden="false" customHeight="false" outlineLevel="0" collapsed="false">
      <c r="A359" s="11" t="n">
        <v>46269</v>
      </c>
      <c r="B359" s="2" t="s">
        <v>64</v>
      </c>
      <c r="C359" s="2" t="s">
        <v>68</v>
      </c>
      <c r="D359" s="2" t="s">
        <v>69</v>
      </c>
      <c r="E359" s="2" t="s">
        <v>70</v>
      </c>
      <c r="F359" s="2" t="s">
        <v>62</v>
      </c>
      <c r="G359" s="2" t="s">
        <v>69</v>
      </c>
      <c r="H359" s="2" t="s">
        <v>63</v>
      </c>
      <c r="I359" s="12" t="n">
        <v>1</v>
      </c>
      <c r="J359" s="12" t="n">
        <f aca="false">IF(COUNTIFS($D$2:$D359,$D359,$A$2:$A359,$A359)=1,1,0)</f>
        <v>0</v>
      </c>
    </row>
    <row r="360" customFormat="false" ht="15" hidden="false" customHeight="false" outlineLevel="0" collapsed="false">
      <c r="A360" s="11" t="n">
        <v>46269</v>
      </c>
      <c r="B360" s="2" t="s">
        <v>64</v>
      </c>
      <c r="C360" s="2" t="s">
        <v>163</v>
      </c>
      <c r="D360" s="2" t="s">
        <v>164</v>
      </c>
      <c r="E360" s="2" t="s">
        <v>165</v>
      </c>
      <c r="F360" s="2" t="s">
        <v>62</v>
      </c>
      <c r="G360" s="2" t="s">
        <v>166</v>
      </c>
      <c r="H360" s="2" t="s">
        <v>75</v>
      </c>
      <c r="I360" s="12" t="n">
        <v>1</v>
      </c>
      <c r="J360" s="12" t="n">
        <f aca="false">IF(COUNTIFS($D$2:$D360,$D360,$A$2:$A360,$A360)=1,1,0)</f>
        <v>1</v>
      </c>
    </row>
    <row r="361" customFormat="false" ht="15" hidden="false" customHeight="false" outlineLevel="0" collapsed="false">
      <c r="A361" s="11" t="n">
        <v>46269</v>
      </c>
      <c r="B361" s="2" t="s">
        <v>64</v>
      </c>
      <c r="C361" s="2" t="s">
        <v>221</v>
      </c>
      <c r="D361" s="2" t="s">
        <v>222</v>
      </c>
      <c r="E361" s="2" t="s">
        <v>223</v>
      </c>
      <c r="F361" s="2" t="s">
        <v>62</v>
      </c>
      <c r="G361" s="2" t="s">
        <v>224</v>
      </c>
      <c r="H361" s="2" t="s">
        <v>75</v>
      </c>
      <c r="I361" s="12" t="n">
        <v>1</v>
      </c>
      <c r="J361" s="12" t="n">
        <f aca="false">IF(COUNTIFS($D$2:$D361,$D361,$A$2:$A361,$A361)=1,1,0)</f>
        <v>1</v>
      </c>
    </row>
    <row r="362" customFormat="false" ht="15" hidden="false" customHeight="false" outlineLevel="0" collapsed="false">
      <c r="A362" s="11" t="n">
        <v>46269</v>
      </c>
      <c r="B362" s="2" t="s">
        <v>64</v>
      </c>
      <c r="C362" s="2" t="s">
        <v>221</v>
      </c>
      <c r="D362" s="2" t="s">
        <v>222</v>
      </c>
      <c r="E362" s="2" t="s">
        <v>223</v>
      </c>
      <c r="F362" s="2" t="s">
        <v>62</v>
      </c>
      <c r="G362" s="2" t="s">
        <v>222</v>
      </c>
      <c r="H362" s="2" t="s">
        <v>63</v>
      </c>
      <c r="I362" s="12" t="n">
        <v>1</v>
      </c>
      <c r="J362" s="12" t="n">
        <f aca="false">IF(COUNTIFS($D$2:$D362,$D362,$A$2:$A362,$A362)=1,1,0)</f>
        <v>0</v>
      </c>
    </row>
    <row r="363" customFormat="false" ht="15" hidden="false" customHeight="false" outlineLevel="0" collapsed="false">
      <c r="A363" s="11" t="n">
        <v>46270</v>
      </c>
      <c r="B363" s="2" t="s">
        <v>64</v>
      </c>
      <c r="C363" s="2" t="s">
        <v>145</v>
      </c>
      <c r="D363" s="2" t="s">
        <v>146</v>
      </c>
      <c r="E363" s="2" t="s">
        <v>134</v>
      </c>
      <c r="F363" s="2" t="s">
        <v>147</v>
      </c>
      <c r="G363" s="2" t="s">
        <v>354</v>
      </c>
      <c r="H363" s="2" t="s">
        <v>75</v>
      </c>
      <c r="I363" s="12" t="n">
        <v>1</v>
      </c>
      <c r="J363" s="12" t="n">
        <f aca="false">IF(COUNTIFS($D$2:$D363,$D363,$A$2:$A363,$A363)=1,1,0)</f>
        <v>1</v>
      </c>
    </row>
    <row r="364" customFormat="false" ht="15" hidden="false" customHeight="false" outlineLevel="0" collapsed="false">
      <c r="A364" s="11" t="n">
        <v>46270</v>
      </c>
      <c r="B364" s="2" t="s">
        <v>64</v>
      </c>
      <c r="C364" s="2" t="s">
        <v>128</v>
      </c>
      <c r="D364" s="2" t="s">
        <v>129</v>
      </c>
      <c r="E364" s="2" t="s">
        <v>130</v>
      </c>
      <c r="F364" s="2" t="s">
        <v>109</v>
      </c>
      <c r="G364" s="2" t="s">
        <v>131</v>
      </c>
      <c r="H364" s="2" t="s">
        <v>75</v>
      </c>
      <c r="I364" s="12" t="n">
        <v>1</v>
      </c>
      <c r="J364" s="12" t="n">
        <f aca="false">IF(COUNTIFS($D$2:$D364,$D364,$A$2:$A364,$A364)=1,1,0)</f>
        <v>1</v>
      </c>
    </row>
    <row r="365" customFormat="false" ht="15" hidden="false" customHeight="false" outlineLevel="0" collapsed="false">
      <c r="A365" s="11" t="n">
        <v>46270</v>
      </c>
      <c r="B365" s="2" t="s">
        <v>64</v>
      </c>
      <c r="C365" s="2" t="s">
        <v>71</v>
      </c>
      <c r="D365" s="2" t="s">
        <v>72</v>
      </c>
      <c r="E365" s="2" t="s">
        <v>73</v>
      </c>
      <c r="F365" s="2" t="s">
        <v>62</v>
      </c>
      <c r="G365" s="2" t="s">
        <v>76</v>
      </c>
      <c r="H365" s="2" t="s">
        <v>75</v>
      </c>
      <c r="I365" s="12" t="n">
        <v>1</v>
      </c>
      <c r="J365" s="12" t="n">
        <f aca="false">IF(COUNTIFS($D$2:$D365,$D365,$A$2:$A365,$A365)=1,1,0)</f>
        <v>1</v>
      </c>
    </row>
    <row r="366" customFormat="false" ht="15" hidden="false" customHeight="false" outlineLevel="0" collapsed="false">
      <c r="A366" s="11" t="n">
        <v>46271</v>
      </c>
      <c r="B366" s="2" t="s">
        <v>64</v>
      </c>
      <c r="C366" s="2" t="s">
        <v>65</v>
      </c>
      <c r="D366" s="2" t="s">
        <v>66</v>
      </c>
      <c r="E366" s="2" t="s">
        <v>67</v>
      </c>
      <c r="F366" s="2" t="s">
        <v>62</v>
      </c>
      <c r="G366" s="2" t="s">
        <v>110</v>
      </c>
      <c r="H366" s="2" t="s">
        <v>75</v>
      </c>
      <c r="I366" s="12" t="n">
        <v>1</v>
      </c>
      <c r="J366" s="12" t="n">
        <f aca="false">IF(COUNTIFS($D$2:$D366,$D366,$A$2:$A366,$A366)=1,1,0)</f>
        <v>1</v>
      </c>
    </row>
    <row r="367" customFormat="false" ht="15" hidden="false" customHeight="false" outlineLevel="0" collapsed="false">
      <c r="A367" s="11" t="n">
        <v>46271</v>
      </c>
      <c r="B367" s="2" t="s">
        <v>64</v>
      </c>
      <c r="C367" s="2" t="s">
        <v>120</v>
      </c>
      <c r="D367" s="2" t="s">
        <v>121</v>
      </c>
      <c r="E367" s="2" t="s">
        <v>122</v>
      </c>
      <c r="F367" s="2" t="s">
        <v>62</v>
      </c>
      <c r="G367" s="2" t="s">
        <v>123</v>
      </c>
      <c r="H367" s="2" t="s">
        <v>75</v>
      </c>
      <c r="I367" s="12" t="n">
        <v>1</v>
      </c>
      <c r="J367" s="12" t="n">
        <f aca="false">IF(COUNTIFS($D$2:$D367,$D367,$A$2:$A367,$A367)=1,1,0)</f>
        <v>1</v>
      </c>
    </row>
    <row r="368" customFormat="false" ht="15" hidden="false" customHeight="false" outlineLevel="0" collapsed="false">
      <c r="A368" s="11" t="n">
        <v>46271</v>
      </c>
      <c r="B368" s="2" t="s">
        <v>64</v>
      </c>
      <c r="C368" s="2" t="s">
        <v>264</v>
      </c>
      <c r="D368" s="2" t="s">
        <v>265</v>
      </c>
      <c r="E368" s="2" t="s">
        <v>266</v>
      </c>
      <c r="F368" s="2" t="s">
        <v>62</v>
      </c>
      <c r="G368" s="2" t="s">
        <v>267</v>
      </c>
      <c r="H368" s="2" t="s">
        <v>75</v>
      </c>
      <c r="I368" s="12" t="n">
        <v>1</v>
      </c>
      <c r="J368" s="12" t="n">
        <f aca="false">IF(COUNTIFS($D$2:$D368,$D368,$A$2:$A368,$A368)=1,1,0)</f>
        <v>1</v>
      </c>
    </row>
    <row r="369" customFormat="false" ht="15" hidden="false" customHeight="false" outlineLevel="0" collapsed="false">
      <c r="A369" s="11" t="n">
        <v>46271</v>
      </c>
      <c r="B369" s="2" t="s">
        <v>64</v>
      </c>
      <c r="C369" s="2" t="s">
        <v>78</v>
      </c>
      <c r="D369" s="2" t="s">
        <v>79</v>
      </c>
      <c r="E369" s="2" t="s">
        <v>80</v>
      </c>
      <c r="F369" s="2" t="s">
        <v>62</v>
      </c>
      <c r="G369" s="2" t="s">
        <v>81</v>
      </c>
      <c r="H369" s="2" t="s">
        <v>75</v>
      </c>
      <c r="I369" s="12" t="n">
        <v>1</v>
      </c>
      <c r="J369" s="12" t="n">
        <f aca="false">IF(COUNTIFS($D$2:$D369,$D369,$A$2:$A369,$A369)=1,1,0)</f>
        <v>1</v>
      </c>
    </row>
    <row r="370" customFormat="false" ht="15" hidden="false" customHeight="false" outlineLevel="0" collapsed="false">
      <c r="A370" s="11" t="n">
        <v>46271</v>
      </c>
      <c r="B370" s="2" t="s">
        <v>64</v>
      </c>
      <c r="C370" s="2" t="s">
        <v>202</v>
      </c>
      <c r="D370" s="2" t="s">
        <v>203</v>
      </c>
      <c r="E370" s="2" t="s">
        <v>204</v>
      </c>
      <c r="F370" s="2" t="s">
        <v>62</v>
      </c>
      <c r="G370" s="2" t="s">
        <v>205</v>
      </c>
      <c r="H370" s="2" t="s">
        <v>75</v>
      </c>
      <c r="I370" s="12" t="n">
        <v>1</v>
      </c>
      <c r="J370" s="12" t="n">
        <f aca="false">IF(COUNTIFS($D$2:$D370,$D370,$A$2:$A370,$A370)=1,1,0)</f>
        <v>1</v>
      </c>
    </row>
    <row r="371" customFormat="false" ht="15" hidden="false" customHeight="false" outlineLevel="0" collapsed="false">
      <c r="A371" s="11" t="n">
        <v>46271</v>
      </c>
      <c r="B371" s="2" t="s">
        <v>64</v>
      </c>
      <c r="C371" s="2" t="s">
        <v>180</v>
      </c>
      <c r="D371" s="2" t="s">
        <v>181</v>
      </c>
      <c r="E371" s="2" t="s">
        <v>182</v>
      </c>
      <c r="F371" s="2" t="s">
        <v>62</v>
      </c>
      <c r="G371" s="2" t="s">
        <v>183</v>
      </c>
      <c r="H371" s="2" t="s">
        <v>75</v>
      </c>
      <c r="I371" s="12" t="n">
        <v>1</v>
      </c>
      <c r="J371" s="12" t="n">
        <f aca="false">IF(COUNTIFS($D$2:$D371,$D371,$A$2:$A371,$A371)=1,1,0)</f>
        <v>1</v>
      </c>
    </row>
    <row r="372" customFormat="false" ht="15" hidden="false" customHeight="false" outlineLevel="0" collapsed="false">
      <c r="A372" s="11" t="n">
        <v>46271</v>
      </c>
      <c r="B372" s="2" t="s">
        <v>64</v>
      </c>
      <c r="C372" s="2" t="s">
        <v>310</v>
      </c>
      <c r="D372" s="2" t="s">
        <v>311</v>
      </c>
      <c r="E372" s="2" t="s">
        <v>312</v>
      </c>
      <c r="F372" s="2" t="s">
        <v>62</v>
      </c>
      <c r="G372" s="2" t="s">
        <v>355</v>
      </c>
      <c r="H372" s="2" t="s">
        <v>75</v>
      </c>
      <c r="I372" s="12" t="n">
        <v>1</v>
      </c>
      <c r="J372" s="12" t="n">
        <f aca="false">IF(COUNTIFS($D$2:$D372,$D372,$A$2:$A372,$A372)=1,1,0)</f>
        <v>1</v>
      </c>
    </row>
    <row r="373" customFormat="false" ht="15" hidden="false" customHeight="false" outlineLevel="0" collapsed="false">
      <c r="A373" s="11" t="n">
        <v>46272</v>
      </c>
      <c r="B373" s="2" t="s">
        <v>64</v>
      </c>
      <c r="C373" s="2" t="s">
        <v>148</v>
      </c>
      <c r="D373" s="2" t="s">
        <v>149</v>
      </c>
      <c r="E373" s="2" t="s">
        <v>150</v>
      </c>
      <c r="F373" s="2" t="s">
        <v>109</v>
      </c>
      <c r="G373" s="2" t="s">
        <v>151</v>
      </c>
      <c r="H373" s="2" t="s">
        <v>75</v>
      </c>
      <c r="I373" s="12" t="n">
        <v>1</v>
      </c>
      <c r="J373" s="12" t="n">
        <f aca="false">IF(COUNTIFS($D$2:$D373,$D373,$A$2:$A373,$A373)=1,1,0)</f>
        <v>1</v>
      </c>
    </row>
    <row r="374" customFormat="false" ht="15" hidden="false" customHeight="false" outlineLevel="0" collapsed="false">
      <c r="A374" s="11" t="n">
        <v>46272</v>
      </c>
      <c r="B374" s="2" t="s">
        <v>64</v>
      </c>
      <c r="C374" s="2" t="s">
        <v>171</v>
      </c>
      <c r="D374" s="2" t="s">
        <v>172</v>
      </c>
      <c r="E374" s="2" t="s">
        <v>173</v>
      </c>
      <c r="F374" s="2" t="s">
        <v>62</v>
      </c>
      <c r="G374" s="2" t="s">
        <v>179</v>
      </c>
      <c r="H374" s="2" t="s">
        <v>75</v>
      </c>
      <c r="I374" s="12" t="n">
        <v>1</v>
      </c>
      <c r="J374" s="12" t="n">
        <f aca="false">IF(COUNTIFS($D$2:$D374,$D374,$A$2:$A374,$A374)=1,1,0)</f>
        <v>1</v>
      </c>
    </row>
    <row r="375" customFormat="false" ht="15" hidden="false" customHeight="false" outlineLevel="0" collapsed="false">
      <c r="A375" s="11" t="n">
        <v>46272</v>
      </c>
      <c r="B375" s="2" t="s">
        <v>64</v>
      </c>
      <c r="C375" s="2" t="s">
        <v>120</v>
      </c>
      <c r="D375" s="2" t="s">
        <v>121</v>
      </c>
      <c r="E375" s="2" t="s">
        <v>122</v>
      </c>
      <c r="F375" s="2" t="s">
        <v>62</v>
      </c>
      <c r="G375" s="2" t="s">
        <v>123</v>
      </c>
      <c r="H375" s="2" t="s">
        <v>75</v>
      </c>
      <c r="I375" s="12" t="n">
        <v>1</v>
      </c>
      <c r="J375" s="12" t="n">
        <f aca="false">IF(COUNTIFS($D$2:$D375,$D375,$A$2:$A375,$A375)=1,1,0)</f>
        <v>1</v>
      </c>
    </row>
    <row r="376" customFormat="false" ht="15" hidden="false" customHeight="false" outlineLevel="0" collapsed="false">
      <c r="A376" s="11" t="n">
        <v>46272</v>
      </c>
      <c r="B376" s="2" t="s">
        <v>64</v>
      </c>
      <c r="C376" s="2" t="s">
        <v>59</v>
      </c>
      <c r="D376" s="2" t="s">
        <v>60</v>
      </c>
      <c r="E376" s="2" t="s">
        <v>61</v>
      </c>
      <c r="F376" s="2" t="s">
        <v>62</v>
      </c>
      <c r="G376" s="2" t="s">
        <v>77</v>
      </c>
      <c r="H376" s="2" t="s">
        <v>75</v>
      </c>
      <c r="I376" s="12" t="n">
        <v>1</v>
      </c>
      <c r="J376" s="12" t="n">
        <f aca="false">IF(COUNTIFS($D$2:$D376,$D376,$A$2:$A376,$A376)=1,1,0)</f>
        <v>1</v>
      </c>
    </row>
    <row r="377" customFormat="false" ht="15" hidden="false" customHeight="false" outlineLevel="0" collapsed="false">
      <c r="A377" s="11" t="n">
        <v>46272</v>
      </c>
      <c r="B377" s="2" t="s">
        <v>64</v>
      </c>
      <c r="C377" s="2" t="s">
        <v>287</v>
      </c>
      <c r="D377" s="2" t="s">
        <v>288</v>
      </c>
      <c r="E377" s="2" t="s">
        <v>289</v>
      </c>
      <c r="F377" s="2" t="s">
        <v>62</v>
      </c>
      <c r="G377" s="2" t="s">
        <v>290</v>
      </c>
      <c r="H377" s="2" t="s">
        <v>75</v>
      </c>
      <c r="I377" s="12" t="n">
        <v>1</v>
      </c>
      <c r="J377" s="12" t="n">
        <f aca="false">IF(COUNTIFS($D$2:$D377,$D377,$A$2:$A377,$A377)=1,1,0)</f>
        <v>1</v>
      </c>
    </row>
    <row r="378" customFormat="false" ht="15" hidden="false" customHeight="false" outlineLevel="0" collapsed="false">
      <c r="A378" s="11" t="n">
        <v>46272</v>
      </c>
      <c r="B378" s="2" t="s">
        <v>64</v>
      </c>
      <c r="C378" s="2" t="s">
        <v>202</v>
      </c>
      <c r="D378" s="2" t="s">
        <v>203</v>
      </c>
      <c r="E378" s="2" t="s">
        <v>204</v>
      </c>
      <c r="F378" s="2" t="s">
        <v>62</v>
      </c>
      <c r="G378" s="2" t="s">
        <v>205</v>
      </c>
      <c r="H378" s="2" t="s">
        <v>75</v>
      </c>
      <c r="I378" s="12" t="n">
        <v>2</v>
      </c>
      <c r="J378" s="12" t="n">
        <f aca="false">IF(COUNTIFS($D$2:$D378,$D378,$A$2:$A378,$A378)=1,1,0)</f>
        <v>1</v>
      </c>
    </row>
    <row r="379" customFormat="false" ht="15" hidden="false" customHeight="false" outlineLevel="0" collapsed="false">
      <c r="A379" s="11" t="n">
        <v>46272</v>
      </c>
      <c r="B379" s="2" t="s">
        <v>64</v>
      </c>
      <c r="C379" s="2" t="s">
        <v>356</v>
      </c>
      <c r="D379" s="2" t="s">
        <v>357</v>
      </c>
      <c r="E379" s="2" t="s">
        <v>358</v>
      </c>
      <c r="F379" s="2" t="s">
        <v>62</v>
      </c>
      <c r="G379" s="2" t="s">
        <v>359</v>
      </c>
      <c r="H379" s="2" t="s">
        <v>75</v>
      </c>
      <c r="I379" s="12" t="n">
        <v>1</v>
      </c>
      <c r="J379" s="12" t="n">
        <f aca="false">IF(COUNTIFS($D$2:$D379,$D379,$A$2:$A379,$A379)=1,1,0)</f>
        <v>1</v>
      </c>
    </row>
    <row r="380" customFormat="false" ht="15" hidden="false" customHeight="false" outlineLevel="0" collapsed="false">
      <c r="A380" s="11" t="n">
        <v>46272</v>
      </c>
      <c r="B380" s="2" t="s">
        <v>64</v>
      </c>
      <c r="C380" s="2" t="s">
        <v>310</v>
      </c>
      <c r="D380" s="2" t="s">
        <v>311</v>
      </c>
      <c r="E380" s="2" t="s">
        <v>312</v>
      </c>
      <c r="F380" s="2" t="s">
        <v>62</v>
      </c>
      <c r="G380" s="2" t="s">
        <v>355</v>
      </c>
      <c r="H380" s="2" t="s">
        <v>75</v>
      </c>
      <c r="I380" s="12" t="n">
        <v>1</v>
      </c>
      <c r="J380" s="12" t="n">
        <f aca="false">IF(COUNTIFS($D$2:$D380,$D380,$A$2:$A380,$A380)=1,1,0)</f>
        <v>1</v>
      </c>
    </row>
    <row r="381" customFormat="false" ht="15" hidden="false" customHeight="false" outlineLevel="0" collapsed="false">
      <c r="A381" s="11" t="n">
        <v>46272</v>
      </c>
      <c r="B381" s="2" t="s">
        <v>64</v>
      </c>
      <c r="C381" s="2" t="s">
        <v>163</v>
      </c>
      <c r="D381" s="2" t="s">
        <v>164</v>
      </c>
      <c r="E381" s="2" t="s">
        <v>165</v>
      </c>
      <c r="F381" s="2" t="s">
        <v>62</v>
      </c>
      <c r="G381" s="2" t="s">
        <v>166</v>
      </c>
      <c r="H381" s="2" t="s">
        <v>75</v>
      </c>
      <c r="I381" s="12" t="n">
        <v>1</v>
      </c>
      <c r="J381" s="12" t="n">
        <f aca="false">IF(COUNTIFS($D$2:$D381,$D381,$A$2:$A381,$A381)=1,1,0)</f>
        <v>1</v>
      </c>
    </row>
    <row r="382" customFormat="false" ht="15" hidden="false" customHeight="false" outlineLevel="0" collapsed="false">
      <c r="A382" s="11" t="n">
        <v>46273</v>
      </c>
      <c r="B382" s="2" t="s">
        <v>64</v>
      </c>
      <c r="C382" s="2" t="s">
        <v>148</v>
      </c>
      <c r="D382" s="2" t="s">
        <v>149</v>
      </c>
      <c r="E382" s="2" t="s">
        <v>150</v>
      </c>
      <c r="F382" s="2" t="s">
        <v>109</v>
      </c>
      <c r="G382" s="2" t="s">
        <v>151</v>
      </c>
      <c r="H382" s="2" t="s">
        <v>75</v>
      </c>
      <c r="I382" s="12" t="n">
        <v>1</v>
      </c>
      <c r="J382" s="12" t="n">
        <f aca="false">IF(COUNTIFS($D$2:$D382,$D382,$A$2:$A382,$A382)=1,1,0)</f>
        <v>1</v>
      </c>
    </row>
    <row r="383" customFormat="false" ht="15" hidden="false" customHeight="false" outlineLevel="0" collapsed="false">
      <c r="A383" s="11" t="n">
        <v>46273</v>
      </c>
      <c r="B383" s="2" t="s">
        <v>64</v>
      </c>
      <c r="C383" s="2" t="s">
        <v>304</v>
      </c>
      <c r="D383" s="2" t="s">
        <v>305</v>
      </c>
      <c r="E383" s="2" t="s">
        <v>306</v>
      </c>
      <c r="F383" s="2" t="s">
        <v>62</v>
      </c>
      <c r="G383" s="2" t="s">
        <v>341</v>
      </c>
      <c r="H383" s="2" t="s">
        <v>75</v>
      </c>
      <c r="I383" s="12" t="n">
        <v>2</v>
      </c>
      <c r="J383" s="12" t="n">
        <f aca="false">IF(COUNTIFS($D$2:$D383,$D383,$A$2:$A383,$A383)=1,1,0)</f>
        <v>1</v>
      </c>
    </row>
    <row r="384" customFormat="false" ht="15" hidden="false" customHeight="false" outlineLevel="0" collapsed="false">
      <c r="A384" s="11" t="n">
        <v>46273</v>
      </c>
      <c r="B384" s="2" t="s">
        <v>64</v>
      </c>
      <c r="C384" s="2" t="s">
        <v>167</v>
      </c>
      <c r="D384" s="2" t="s">
        <v>168</v>
      </c>
      <c r="E384" s="2" t="s">
        <v>169</v>
      </c>
      <c r="F384" s="2" t="s">
        <v>62</v>
      </c>
      <c r="G384" s="2" t="s">
        <v>170</v>
      </c>
      <c r="H384" s="2" t="s">
        <v>75</v>
      </c>
      <c r="I384" s="12" t="n">
        <v>1</v>
      </c>
      <c r="J384" s="12" t="n">
        <f aca="false">IF(COUNTIFS($D$2:$D384,$D384,$A$2:$A384,$A384)=1,1,0)</f>
        <v>1</v>
      </c>
    </row>
    <row r="385" customFormat="false" ht="15" hidden="false" customHeight="false" outlineLevel="0" collapsed="false">
      <c r="A385" s="11" t="n">
        <v>46273</v>
      </c>
      <c r="B385" s="2" t="s">
        <v>64</v>
      </c>
      <c r="C385" s="2" t="s">
        <v>65</v>
      </c>
      <c r="D385" s="2" t="s">
        <v>66</v>
      </c>
      <c r="E385" s="2" t="s">
        <v>67</v>
      </c>
      <c r="F385" s="2" t="s">
        <v>62</v>
      </c>
      <c r="G385" s="2" t="s">
        <v>110</v>
      </c>
      <c r="H385" s="2" t="s">
        <v>75</v>
      </c>
      <c r="I385" s="12" t="n">
        <v>1</v>
      </c>
      <c r="J385" s="12" t="n">
        <f aca="false">IF(COUNTIFS($D$2:$D385,$D385,$A$2:$A385,$A385)=1,1,0)</f>
        <v>1</v>
      </c>
    </row>
    <row r="386" customFormat="false" ht="15" hidden="false" customHeight="false" outlineLevel="0" collapsed="false">
      <c r="A386" s="11" t="n">
        <v>46273</v>
      </c>
      <c r="B386" s="2" t="s">
        <v>64</v>
      </c>
      <c r="C386" s="2" t="s">
        <v>120</v>
      </c>
      <c r="D386" s="2" t="s">
        <v>121</v>
      </c>
      <c r="E386" s="2" t="s">
        <v>122</v>
      </c>
      <c r="F386" s="2" t="s">
        <v>62</v>
      </c>
      <c r="G386" s="2" t="s">
        <v>123</v>
      </c>
      <c r="H386" s="2" t="s">
        <v>75</v>
      </c>
      <c r="I386" s="12" t="n">
        <v>1</v>
      </c>
      <c r="J386" s="12" t="n">
        <f aca="false">IF(COUNTIFS($D$2:$D386,$D386,$A$2:$A386,$A386)=1,1,0)</f>
        <v>1</v>
      </c>
    </row>
    <row r="387" customFormat="false" ht="15" hidden="false" customHeight="false" outlineLevel="0" collapsed="false">
      <c r="A387" s="11" t="n">
        <v>46273</v>
      </c>
      <c r="B387" s="2" t="s">
        <v>64</v>
      </c>
      <c r="C387" s="2" t="s">
        <v>59</v>
      </c>
      <c r="D387" s="2" t="s">
        <v>60</v>
      </c>
      <c r="E387" s="2" t="s">
        <v>61</v>
      </c>
      <c r="F387" s="2" t="s">
        <v>62</v>
      </c>
      <c r="G387" s="2" t="s">
        <v>77</v>
      </c>
      <c r="H387" s="2" t="s">
        <v>75</v>
      </c>
      <c r="I387" s="12" t="n">
        <v>1</v>
      </c>
      <c r="J387" s="12" t="n">
        <f aca="false">IF(COUNTIFS($D$2:$D387,$D387,$A$2:$A387,$A387)=1,1,0)</f>
        <v>1</v>
      </c>
    </row>
    <row r="388" customFormat="false" ht="15" hidden="false" customHeight="false" outlineLevel="0" collapsed="false">
      <c r="A388" s="11" t="n">
        <v>46274</v>
      </c>
      <c r="B388" s="2" t="s">
        <v>64</v>
      </c>
      <c r="C388" s="2" t="s">
        <v>145</v>
      </c>
      <c r="D388" s="2" t="s">
        <v>146</v>
      </c>
      <c r="E388" s="2" t="s">
        <v>134</v>
      </c>
      <c r="F388" s="2" t="s">
        <v>147</v>
      </c>
      <c r="G388" s="2" t="s">
        <v>146</v>
      </c>
      <c r="H388" s="2" t="s">
        <v>63</v>
      </c>
      <c r="I388" s="12" t="n">
        <v>1</v>
      </c>
      <c r="J388" s="12" t="n">
        <f aca="false">IF(COUNTIFS($D$2:$D388,$D388,$A$2:$A388,$A388)=1,1,0)</f>
        <v>1</v>
      </c>
    </row>
    <row r="389" customFormat="false" ht="15" hidden="false" customHeight="false" outlineLevel="0" collapsed="false">
      <c r="A389" s="11" t="n">
        <v>46274</v>
      </c>
      <c r="B389" s="2" t="s">
        <v>64</v>
      </c>
      <c r="C389" s="2" t="s">
        <v>327</v>
      </c>
      <c r="D389" s="2" t="s">
        <v>328</v>
      </c>
      <c r="E389" s="2" t="s">
        <v>329</v>
      </c>
      <c r="F389" s="2" t="s">
        <v>94</v>
      </c>
      <c r="G389" s="2" t="s">
        <v>360</v>
      </c>
      <c r="H389" s="2" t="s">
        <v>75</v>
      </c>
      <c r="I389" s="12" t="n">
        <v>1</v>
      </c>
      <c r="J389" s="12" t="n">
        <f aca="false">IF(COUNTIFS($D$2:$D389,$D389,$A$2:$A389,$A389)=1,1,0)</f>
        <v>1</v>
      </c>
    </row>
    <row r="390" customFormat="false" ht="15" hidden="false" customHeight="false" outlineLevel="0" collapsed="false">
      <c r="A390" s="11" t="n">
        <v>46274</v>
      </c>
      <c r="B390" s="2" t="s">
        <v>64</v>
      </c>
      <c r="C390" s="2" t="s">
        <v>327</v>
      </c>
      <c r="D390" s="2" t="s">
        <v>328</v>
      </c>
      <c r="E390" s="2" t="s">
        <v>329</v>
      </c>
      <c r="F390" s="2" t="s">
        <v>94</v>
      </c>
      <c r="G390" s="2" t="s">
        <v>330</v>
      </c>
      <c r="H390" s="2" t="s">
        <v>75</v>
      </c>
      <c r="I390" s="12" t="n">
        <v>1</v>
      </c>
      <c r="J390" s="12" t="n">
        <f aca="false">IF(COUNTIFS($D$2:$D390,$D390,$A$2:$A390,$A390)=1,1,0)</f>
        <v>0</v>
      </c>
    </row>
    <row r="391" customFormat="false" ht="15" hidden="false" customHeight="false" outlineLevel="0" collapsed="false">
      <c r="A391" s="11" t="n">
        <v>46274</v>
      </c>
      <c r="B391" s="2" t="s">
        <v>64</v>
      </c>
      <c r="C391" s="2" t="s">
        <v>361</v>
      </c>
      <c r="D391" s="2" t="s">
        <v>362</v>
      </c>
      <c r="E391" s="2" t="s">
        <v>363</v>
      </c>
      <c r="F391" s="2" t="s">
        <v>62</v>
      </c>
      <c r="G391" s="2" t="s">
        <v>364</v>
      </c>
      <c r="H391" s="2" t="s">
        <v>75</v>
      </c>
      <c r="I391" s="12" t="n">
        <v>1</v>
      </c>
      <c r="J391" s="12" t="n">
        <f aca="false">IF(COUNTIFS($D$2:$D391,$D391,$A$2:$A391,$A391)=1,1,0)</f>
        <v>1</v>
      </c>
    </row>
    <row r="392" customFormat="false" ht="15" hidden="false" customHeight="false" outlineLevel="0" collapsed="false">
      <c r="A392" s="11" t="n">
        <v>46274</v>
      </c>
      <c r="B392" s="2" t="s">
        <v>64</v>
      </c>
      <c r="C392" s="2" t="s">
        <v>78</v>
      </c>
      <c r="D392" s="2" t="s">
        <v>79</v>
      </c>
      <c r="E392" s="2" t="s">
        <v>80</v>
      </c>
      <c r="F392" s="2" t="s">
        <v>62</v>
      </c>
      <c r="G392" s="2" t="s">
        <v>81</v>
      </c>
      <c r="H392" s="2" t="s">
        <v>75</v>
      </c>
      <c r="I392" s="12" t="n">
        <v>1</v>
      </c>
      <c r="J392" s="12" t="n">
        <f aca="false">IF(COUNTIFS($D$2:$D392,$D392,$A$2:$A392,$A392)=1,1,0)</f>
        <v>1</v>
      </c>
    </row>
    <row r="393" customFormat="false" ht="15" hidden="false" customHeight="false" outlineLevel="0" collapsed="false">
      <c r="A393" s="11" t="n">
        <v>46274</v>
      </c>
      <c r="B393" s="2" t="s">
        <v>64</v>
      </c>
      <c r="C393" s="2" t="s">
        <v>202</v>
      </c>
      <c r="D393" s="2" t="s">
        <v>203</v>
      </c>
      <c r="E393" s="2" t="s">
        <v>204</v>
      </c>
      <c r="F393" s="2" t="s">
        <v>62</v>
      </c>
      <c r="G393" s="2" t="s">
        <v>205</v>
      </c>
      <c r="H393" s="2" t="s">
        <v>75</v>
      </c>
      <c r="I393" s="12" t="n">
        <v>1</v>
      </c>
      <c r="J393" s="12" t="n">
        <f aca="false">IF(COUNTIFS($D$2:$D393,$D393,$A$2:$A393,$A393)=1,1,0)</f>
        <v>1</v>
      </c>
    </row>
    <row r="394" customFormat="false" ht="15" hidden="false" customHeight="false" outlineLevel="0" collapsed="false">
      <c r="A394" s="11" t="n">
        <v>46274</v>
      </c>
      <c r="B394" s="2" t="s">
        <v>64</v>
      </c>
      <c r="C394" s="2" t="s">
        <v>174</v>
      </c>
      <c r="D394" s="2" t="s">
        <v>175</v>
      </c>
      <c r="E394" s="2" t="s">
        <v>176</v>
      </c>
      <c r="F394" s="2" t="s">
        <v>62</v>
      </c>
      <c r="G394" s="2" t="s">
        <v>177</v>
      </c>
      <c r="H394" s="2" t="s">
        <v>75</v>
      </c>
      <c r="I394" s="12" t="n">
        <v>1</v>
      </c>
      <c r="J394" s="12" t="n">
        <f aca="false">IF(COUNTIFS($D$2:$D394,$D394,$A$2:$A394,$A394)=1,1,0)</f>
        <v>1</v>
      </c>
    </row>
    <row r="395" customFormat="false" ht="15" hidden="false" customHeight="false" outlineLevel="0" collapsed="false">
      <c r="A395" s="11" t="n">
        <v>46275</v>
      </c>
      <c r="B395" s="2" t="s">
        <v>64</v>
      </c>
      <c r="C395" s="2" t="s">
        <v>145</v>
      </c>
      <c r="D395" s="2" t="s">
        <v>146</v>
      </c>
      <c r="E395" s="2" t="s">
        <v>134</v>
      </c>
      <c r="F395" s="2" t="s">
        <v>147</v>
      </c>
      <c r="G395" s="2" t="s">
        <v>354</v>
      </c>
      <c r="H395" s="2" t="s">
        <v>75</v>
      </c>
      <c r="I395" s="12" t="n">
        <v>1</v>
      </c>
      <c r="J395" s="12" t="n">
        <f aca="false">IF(COUNTIFS($D$2:$D395,$D395,$A$2:$A395,$A395)=1,1,0)</f>
        <v>1</v>
      </c>
    </row>
    <row r="396" customFormat="false" ht="15" hidden="false" customHeight="false" outlineLevel="0" collapsed="false">
      <c r="A396" s="11" t="n">
        <v>46275</v>
      </c>
      <c r="B396" s="2" t="s">
        <v>64</v>
      </c>
      <c r="C396" s="2" t="s">
        <v>145</v>
      </c>
      <c r="D396" s="2" t="s">
        <v>146</v>
      </c>
      <c r="E396" s="2" t="s">
        <v>134</v>
      </c>
      <c r="F396" s="2" t="s">
        <v>147</v>
      </c>
      <c r="G396" s="2" t="s">
        <v>146</v>
      </c>
      <c r="H396" s="2" t="s">
        <v>63</v>
      </c>
      <c r="I396" s="12" t="n">
        <v>2</v>
      </c>
      <c r="J396" s="12" t="n">
        <f aca="false">IF(COUNTIFS($D$2:$D396,$D396,$A$2:$A396,$A396)=1,1,0)</f>
        <v>0</v>
      </c>
    </row>
    <row r="397" customFormat="false" ht="15" hidden="false" customHeight="false" outlineLevel="0" collapsed="false">
      <c r="A397" s="11" t="n">
        <v>46275</v>
      </c>
      <c r="B397" s="2" t="s">
        <v>64</v>
      </c>
      <c r="C397" s="2" t="s">
        <v>128</v>
      </c>
      <c r="D397" s="2" t="s">
        <v>129</v>
      </c>
      <c r="E397" s="2" t="s">
        <v>130</v>
      </c>
      <c r="F397" s="2" t="s">
        <v>109</v>
      </c>
      <c r="G397" s="2" t="s">
        <v>131</v>
      </c>
      <c r="H397" s="2" t="s">
        <v>75</v>
      </c>
      <c r="I397" s="12" t="n">
        <v>1</v>
      </c>
      <c r="J397" s="12" t="n">
        <f aca="false">IF(COUNTIFS($D$2:$D397,$D397,$A$2:$A397,$A397)=1,1,0)</f>
        <v>1</v>
      </c>
    </row>
    <row r="398" customFormat="false" ht="15" hidden="false" customHeight="false" outlineLevel="0" collapsed="false">
      <c r="A398" s="11" t="n">
        <v>46275</v>
      </c>
      <c r="B398" s="2" t="s">
        <v>64</v>
      </c>
      <c r="C398" s="2" t="s">
        <v>65</v>
      </c>
      <c r="D398" s="2" t="s">
        <v>66</v>
      </c>
      <c r="E398" s="2" t="s">
        <v>67</v>
      </c>
      <c r="F398" s="2" t="s">
        <v>62</v>
      </c>
      <c r="G398" s="2" t="s">
        <v>110</v>
      </c>
      <c r="H398" s="2" t="s">
        <v>75</v>
      </c>
      <c r="I398" s="12" t="n">
        <v>1</v>
      </c>
      <c r="J398" s="12" t="n">
        <f aca="false">IF(COUNTIFS($D$2:$D398,$D398,$A$2:$A398,$A398)=1,1,0)</f>
        <v>1</v>
      </c>
    </row>
    <row r="399" customFormat="false" ht="15" hidden="false" customHeight="false" outlineLevel="0" collapsed="false">
      <c r="A399" s="11" t="n">
        <v>46275</v>
      </c>
      <c r="B399" s="2" t="s">
        <v>64</v>
      </c>
      <c r="C399" s="2" t="s">
        <v>171</v>
      </c>
      <c r="D399" s="2" t="s">
        <v>172</v>
      </c>
      <c r="E399" s="2" t="s">
        <v>173</v>
      </c>
      <c r="F399" s="2" t="s">
        <v>62</v>
      </c>
      <c r="G399" s="2" t="s">
        <v>179</v>
      </c>
      <c r="H399" s="2" t="s">
        <v>75</v>
      </c>
      <c r="I399" s="12" t="n">
        <v>1</v>
      </c>
      <c r="J399" s="12" t="n">
        <f aca="false">IF(COUNTIFS($D$2:$D399,$D399,$A$2:$A399,$A399)=1,1,0)</f>
        <v>1</v>
      </c>
    </row>
    <row r="400" customFormat="false" ht="15" hidden="false" customHeight="false" outlineLevel="0" collapsed="false">
      <c r="A400" s="11" t="n">
        <v>46275</v>
      </c>
      <c r="B400" s="2" t="s">
        <v>64</v>
      </c>
      <c r="C400" s="2" t="s">
        <v>120</v>
      </c>
      <c r="D400" s="2" t="s">
        <v>121</v>
      </c>
      <c r="E400" s="2" t="s">
        <v>122</v>
      </c>
      <c r="F400" s="2" t="s">
        <v>62</v>
      </c>
      <c r="G400" s="2" t="s">
        <v>123</v>
      </c>
      <c r="H400" s="2" t="s">
        <v>75</v>
      </c>
      <c r="I400" s="12" t="n">
        <v>1</v>
      </c>
      <c r="J400" s="12" t="n">
        <f aca="false">IF(COUNTIFS($D$2:$D400,$D400,$A$2:$A400,$A400)=1,1,0)</f>
        <v>1</v>
      </c>
    </row>
    <row r="401" customFormat="false" ht="15" hidden="false" customHeight="false" outlineLevel="0" collapsed="false">
      <c r="A401" s="11" t="n">
        <v>46275</v>
      </c>
      <c r="B401" s="2" t="s">
        <v>64</v>
      </c>
      <c r="C401" s="2" t="s">
        <v>264</v>
      </c>
      <c r="D401" s="2" t="s">
        <v>265</v>
      </c>
      <c r="E401" s="2" t="s">
        <v>266</v>
      </c>
      <c r="F401" s="2" t="s">
        <v>62</v>
      </c>
      <c r="G401" s="2" t="s">
        <v>267</v>
      </c>
      <c r="H401" s="2" t="s">
        <v>75</v>
      </c>
      <c r="I401" s="12" t="n">
        <v>1</v>
      </c>
      <c r="J401" s="12" t="n">
        <f aca="false">IF(COUNTIFS($D$2:$D401,$D401,$A$2:$A401,$A401)=1,1,0)</f>
        <v>1</v>
      </c>
    </row>
    <row r="402" customFormat="false" ht="15" hidden="false" customHeight="false" outlineLevel="0" collapsed="false">
      <c r="A402" s="11" t="n">
        <v>46275</v>
      </c>
      <c r="B402" s="2" t="s">
        <v>64</v>
      </c>
      <c r="C402" s="2" t="s">
        <v>112</v>
      </c>
      <c r="D402" s="2" t="s">
        <v>113</v>
      </c>
      <c r="E402" s="2" t="s">
        <v>114</v>
      </c>
      <c r="F402" s="2" t="s">
        <v>62</v>
      </c>
      <c r="G402" s="2" t="s">
        <v>115</v>
      </c>
      <c r="H402" s="2" t="s">
        <v>75</v>
      </c>
      <c r="I402" s="12" t="n">
        <v>1</v>
      </c>
      <c r="J402" s="12" t="n">
        <f aca="false">IF(COUNTIFS($D$2:$D402,$D402,$A$2:$A402,$A402)=1,1,0)</f>
        <v>1</v>
      </c>
    </row>
    <row r="403" customFormat="false" ht="15" hidden="false" customHeight="false" outlineLevel="0" collapsed="false">
      <c r="A403" s="11" t="n">
        <v>46275</v>
      </c>
      <c r="B403" s="2" t="s">
        <v>64</v>
      </c>
      <c r="C403" s="2" t="s">
        <v>365</v>
      </c>
      <c r="D403" s="2" t="s">
        <v>366</v>
      </c>
      <c r="E403" s="2" t="s">
        <v>367</v>
      </c>
      <c r="F403" s="2" t="s">
        <v>62</v>
      </c>
      <c r="G403" s="2" t="s">
        <v>368</v>
      </c>
      <c r="H403" s="2" t="s">
        <v>75</v>
      </c>
      <c r="I403" s="12" t="n">
        <v>1</v>
      </c>
      <c r="J403" s="12" t="n">
        <f aca="false">IF(COUNTIFS($D$2:$D403,$D403,$A$2:$A403,$A403)=1,1,0)</f>
        <v>1</v>
      </c>
    </row>
    <row r="404" customFormat="false" ht="15" hidden="false" customHeight="false" outlineLevel="0" collapsed="false">
      <c r="A404" s="11" t="n">
        <v>46275</v>
      </c>
      <c r="B404" s="2" t="s">
        <v>64</v>
      </c>
      <c r="C404" s="2" t="s">
        <v>91</v>
      </c>
      <c r="D404" s="2" t="s">
        <v>92</v>
      </c>
      <c r="E404" s="2" t="s">
        <v>93</v>
      </c>
      <c r="F404" s="2" t="s">
        <v>94</v>
      </c>
      <c r="G404" s="2" t="s">
        <v>92</v>
      </c>
      <c r="H404" s="2" t="s">
        <v>63</v>
      </c>
      <c r="I404" s="12" t="n">
        <v>1</v>
      </c>
      <c r="J404" s="12" t="n">
        <f aca="false">IF(COUNTIFS($D$2:$D404,$D404,$A$2:$A404,$A404)=1,1,0)</f>
        <v>1</v>
      </c>
    </row>
    <row r="405" customFormat="false" ht="15" hidden="false" customHeight="false" outlineLevel="0" collapsed="false">
      <c r="A405" s="11" t="n">
        <v>46276</v>
      </c>
      <c r="B405" s="2" t="s">
        <v>64</v>
      </c>
      <c r="C405" s="2" t="s">
        <v>159</v>
      </c>
      <c r="D405" s="2" t="s">
        <v>160</v>
      </c>
      <c r="E405" s="2" t="s">
        <v>161</v>
      </c>
      <c r="F405" s="2" t="s">
        <v>62</v>
      </c>
      <c r="G405" s="2" t="s">
        <v>162</v>
      </c>
      <c r="H405" s="2" t="s">
        <v>75</v>
      </c>
      <c r="I405" s="12" t="n">
        <v>1</v>
      </c>
      <c r="J405" s="12" t="n">
        <f aca="false">IF(COUNTIFS($D$2:$D405,$D405,$A$2:$A405,$A405)=1,1,0)</f>
        <v>1</v>
      </c>
    </row>
    <row r="406" customFormat="false" ht="15" hidden="false" customHeight="false" outlineLevel="0" collapsed="false">
      <c r="A406" s="2"/>
      <c r="B406" s="2"/>
      <c r="C406" s="2"/>
      <c r="D406" s="2"/>
      <c r="E406" s="2"/>
      <c r="F406" s="2"/>
      <c r="G406" s="2"/>
      <c r="H406" s="2"/>
      <c r="I406" s="2"/>
      <c r="J406" s="2"/>
    </row>
    <row r="407" customFormat="false" ht="15" hidden="false" customHeight="false" outlineLevel="0" collapsed="false">
      <c r="A407" s="13" t="s">
        <v>369</v>
      </c>
      <c r="B407" s="2"/>
      <c r="C407" s="2"/>
      <c r="D407" s="2"/>
      <c r="E407" s="2"/>
      <c r="F407" s="2"/>
      <c r="G407" s="2"/>
      <c r="H407" s="2"/>
      <c r="I407" s="2"/>
      <c r="J407" s="2"/>
    </row>
  </sheetData>
  <autoFilter ref="A1:J4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46"/>
    <col collapsed="false" customWidth="true" hidden="false" outlineLevel="0" max="3" min="3" style="0" width="14"/>
    <col collapsed="false" customWidth="true" hidden="false" outlineLevel="0" max="4" min="4" style="0" width="42"/>
    <col collapsed="false" customWidth="true" hidden="false" outlineLevel="0" max="6" min="5" style="0" width="14"/>
    <col collapsed="false" customWidth="true" hidden="false" outlineLevel="0" max="7" min="7" style="0" width="10"/>
    <col collapsed="false" customWidth="true" hidden="false" outlineLevel="0" max="10" min="8" style="0" width="9"/>
    <col collapsed="false" customWidth="true" hidden="false" outlineLevel="0" max="14" min="11" style="0" width="13"/>
    <col collapsed="false" customWidth="true" hidden="false" outlineLevel="0" max="15" min="15" style="0" width="19"/>
    <col collapsed="false" customWidth="true" hidden="false" outlineLevel="0" max="18" min="16" style="0" width="12"/>
  </cols>
  <sheetData>
    <row r="1" customFormat="false" ht="30" hidden="false" customHeight="true" outlineLevel="0" collapsed="false">
      <c r="A1" s="10" t="s">
        <v>51</v>
      </c>
      <c r="B1" s="10" t="s">
        <v>52</v>
      </c>
      <c r="C1" s="10" t="s">
        <v>53</v>
      </c>
      <c r="D1" s="10" t="s">
        <v>50</v>
      </c>
      <c r="E1" s="10" t="s">
        <v>370</v>
      </c>
      <c r="F1" s="10" t="s">
        <v>371</v>
      </c>
      <c r="G1" s="10" t="s">
        <v>64</v>
      </c>
      <c r="H1" s="10" t="s">
        <v>58</v>
      </c>
      <c r="I1" s="10" t="s">
        <v>98</v>
      </c>
      <c r="J1" s="10" t="s">
        <v>86</v>
      </c>
      <c r="K1" s="10" t="s">
        <v>372</v>
      </c>
      <c r="L1" s="10" t="s">
        <v>373</v>
      </c>
      <c r="M1" s="10" t="s">
        <v>374</v>
      </c>
      <c r="N1" s="10" t="s">
        <v>375</v>
      </c>
      <c r="O1" s="10" t="s">
        <v>376</v>
      </c>
      <c r="P1" s="10" t="s">
        <v>377</v>
      </c>
      <c r="Q1" s="10" t="s">
        <v>378</v>
      </c>
      <c r="R1" s="10" t="s">
        <v>379</v>
      </c>
    </row>
    <row r="2" customFormat="false" ht="15" hidden="false" customHeight="false" outlineLevel="0" collapsed="false">
      <c r="A2" s="2" t="s">
        <v>121</v>
      </c>
      <c r="B2" s="2" t="s">
        <v>122</v>
      </c>
      <c r="C2" s="2" t="s">
        <v>62</v>
      </c>
      <c r="D2" s="2" t="s">
        <v>120</v>
      </c>
      <c r="E2" s="12" t="n">
        <v>2647</v>
      </c>
      <c r="F2" s="12" t="n">
        <f aca="false">SUMIFS(Sessions!$I:$I,Sessions!$D:$D,$A2)</f>
        <v>25</v>
      </c>
      <c r="G2" s="12" t="n">
        <f aca="false">SUMIFS(Sessions!$I:$I,Sessions!$D:$D,$A2,Sessions!$B:$B,"ChatGPT")</f>
        <v>25</v>
      </c>
      <c r="H2" s="12" t="n">
        <f aca="false">SUMIFS(Sessions!$I:$I,Sessions!$D:$D,$A2,Sessions!$B:$B,"Claude")</f>
        <v>0</v>
      </c>
      <c r="I2" s="12" t="n">
        <f aca="false">SUMIFS(Sessions!$I:$I,Sessions!$D:$D,$A2,Sessions!$B:$B,"Gemini")</f>
        <v>0</v>
      </c>
      <c r="J2" s="12" t="n">
        <f aca="false">SUMIFS(Sessions!$I:$I,Sessions!$D:$D,$A2,Sessions!$B:$B,"Copilot")</f>
        <v>0</v>
      </c>
      <c r="K2" s="14" t="n">
        <f aca="false">IFERROR(F2/E2,"")</f>
        <v>0.00944465432565168</v>
      </c>
      <c r="L2" s="15" t="n">
        <f aca="false">IFERROR(J2/E2,"")</f>
        <v>0</v>
      </c>
      <c r="M2" s="14" t="n">
        <f aca="false">IFERROR(E2/$E$106,"")</f>
        <v>0.287654857639644</v>
      </c>
      <c r="N2" s="14" t="n">
        <f aca="false">IFERROR(F2/$F$106,"")</f>
        <v>0.0564334085778781</v>
      </c>
      <c r="O2" s="2" t="s">
        <v>380</v>
      </c>
      <c r="P2" s="11" t="n">
        <f aca="false">IF(F2=0,"",_xlfn.MINIFS(Sessions!$A:$A,Sessions!$D:$D,$A2))</f>
        <v>46175</v>
      </c>
      <c r="Q2" s="11" t="n">
        <f aca="false">IF(F2=0,"",_xlfn.MAXIFS(Sessions!$A:$A,Sessions!$D:$D,$A2))</f>
        <v>46275</v>
      </c>
      <c r="R2" s="12" t="n">
        <f aca="false">SUMIFS(Sessions!$J:$J,Sessions!$D:$D,$A2)</f>
        <v>21</v>
      </c>
    </row>
    <row r="3" customFormat="false" ht="15" hidden="false" customHeight="false" outlineLevel="0" collapsed="false">
      <c r="A3" s="2" t="s">
        <v>107</v>
      </c>
      <c r="B3" s="2" t="s">
        <v>108</v>
      </c>
      <c r="C3" s="2" t="s">
        <v>109</v>
      </c>
      <c r="D3" s="2" t="s">
        <v>106</v>
      </c>
      <c r="E3" s="12" t="n">
        <v>1425</v>
      </c>
      <c r="F3" s="12" t="n">
        <f aca="false">SUMIFS(Sessions!$I:$I,Sessions!$D:$D,$A3)</f>
        <v>1</v>
      </c>
      <c r="G3" s="12" t="n">
        <f aca="false">SUMIFS(Sessions!$I:$I,Sessions!$D:$D,$A3,Sessions!$B:$B,"ChatGPT")</f>
        <v>0</v>
      </c>
      <c r="H3" s="12" t="n">
        <f aca="false">SUMIFS(Sessions!$I:$I,Sessions!$D:$D,$A3,Sessions!$B:$B,"Claude")</f>
        <v>1</v>
      </c>
      <c r="I3" s="12" t="n">
        <f aca="false">SUMIFS(Sessions!$I:$I,Sessions!$D:$D,$A3,Sessions!$B:$B,"Gemini")</f>
        <v>0</v>
      </c>
      <c r="J3" s="12" t="n">
        <f aca="false">SUMIFS(Sessions!$I:$I,Sessions!$D:$D,$A3,Sessions!$B:$B,"Copilot")</f>
        <v>0</v>
      </c>
      <c r="K3" s="14" t="n">
        <f aca="false">IFERROR(F3/E3,"")</f>
        <v>0.000701754385964912</v>
      </c>
      <c r="L3" s="15" t="n">
        <f aca="false">IFERROR(J3/E3,"")</f>
        <v>0</v>
      </c>
      <c r="M3" s="14" t="n">
        <f aca="false">IFERROR(E3/$E$106,"")</f>
        <v>0.154857639643556</v>
      </c>
      <c r="N3" s="14" t="n">
        <f aca="false">IFERROR(F3/$F$106,"")</f>
        <v>0.00225733634311512</v>
      </c>
      <c r="O3" s="2" t="s">
        <v>380</v>
      </c>
      <c r="P3" s="11" t="n">
        <f aca="false">IF(F3=0,"",_xlfn.MINIFS(Sessions!$A:$A,Sessions!$D:$D,$A3))</f>
        <v>46169</v>
      </c>
      <c r="Q3" s="11" t="n">
        <f aca="false">IF(F3=0,"",_xlfn.MAXIFS(Sessions!$A:$A,Sessions!$D:$D,$A3))</f>
        <v>46169</v>
      </c>
      <c r="R3" s="12" t="n">
        <f aca="false">SUMIFS(Sessions!$J:$J,Sessions!$D:$D,$A3)</f>
        <v>1</v>
      </c>
    </row>
    <row r="4" customFormat="false" ht="15" hidden="false" customHeight="false" outlineLevel="0" collapsed="false">
      <c r="A4" s="2" t="s">
        <v>129</v>
      </c>
      <c r="B4" s="2" t="s">
        <v>130</v>
      </c>
      <c r="C4" s="2" t="s">
        <v>109</v>
      </c>
      <c r="D4" s="2" t="s">
        <v>128</v>
      </c>
      <c r="E4" s="12" t="n">
        <v>808</v>
      </c>
      <c r="F4" s="12" t="n">
        <f aca="false">SUMIFS(Sessions!$I:$I,Sessions!$D:$D,$A4)</f>
        <v>18</v>
      </c>
      <c r="G4" s="12" t="n">
        <f aca="false">SUMIFS(Sessions!$I:$I,Sessions!$D:$D,$A4,Sessions!$B:$B,"ChatGPT")</f>
        <v>18</v>
      </c>
      <c r="H4" s="12" t="n">
        <f aca="false">SUMIFS(Sessions!$I:$I,Sessions!$D:$D,$A4,Sessions!$B:$B,"Claude")</f>
        <v>0</v>
      </c>
      <c r="I4" s="12" t="n">
        <f aca="false">SUMIFS(Sessions!$I:$I,Sessions!$D:$D,$A4,Sessions!$B:$B,"Gemini")</f>
        <v>0</v>
      </c>
      <c r="J4" s="12" t="n">
        <f aca="false">SUMIFS(Sessions!$I:$I,Sessions!$D:$D,$A4,Sessions!$B:$B,"Copilot")</f>
        <v>0</v>
      </c>
      <c r="K4" s="14" t="n">
        <f aca="false">IFERROR(F4/E4,"")</f>
        <v>0.0222772277227723</v>
      </c>
      <c r="L4" s="15" t="n">
        <f aca="false">IFERROR(J4/E4,"")</f>
        <v>0</v>
      </c>
      <c r="M4" s="14" t="n">
        <f aca="false">IFERROR(E4/$E$106,"")</f>
        <v>0.0878069984785916</v>
      </c>
      <c r="N4" s="14" t="n">
        <f aca="false">IFERROR(F4/$F$106,"")</f>
        <v>0.0406320541760722</v>
      </c>
      <c r="O4" s="2" t="s">
        <v>380</v>
      </c>
      <c r="P4" s="11" t="n">
        <f aca="false">IF(F4=0,"",_xlfn.MINIFS(Sessions!$A:$A,Sessions!$D:$D,$A4))</f>
        <v>46180</v>
      </c>
      <c r="Q4" s="11" t="n">
        <f aca="false">IF(F4=0,"",_xlfn.MAXIFS(Sessions!$A:$A,Sessions!$D:$D,$A4))</f>
        <v>46275</v>
      </c>
      <c r="R4" s="12" t="n">
        <f aca="false">SUMIFS(Sessions!$J:$J,Sessions!$D:$D,$A4)</f>
        <v>16</v>
      </c>
    </row>
    <row r="5" customFormat="false" ht="15" hidden="false" customHeight="false" outlineLevel="0" collapsed="false">
      <c r="A5" s="2" t="s">
        <v>69</v>
      </c>
      <c r="B5" s="2" t="s">
        <v>70</v>
      </c>
      <c r="C5" s="2" t="s">
        <v>62</v>
      </c>
      <c r="D5" s="2" t="s">
        <v>68</v>
      </c>
      <c r="E5" s="12" t="n">
        <v>429</v>
      </c>
      <c r="F5" s="12" t="n">
        <f aca="false">SUMIFS(Sessions!$I:$I,Sessions!$D:$D,$A5)</f>
        <v>19</v>
      </c>
      <c r="G5" s="12" t="n">
        <f aca="false">SUMIFS(Sessions!$I:$I,Sessions!$D:$D,$A5,Sessions!$B:$B,"ChatGPT")</f>
        <v>15</v>
      </c>
      <c r="H5" s="12" t="n">
        <f aca="false">SUMIFS(Sessions!$I:$I,Sessions!$D:$D,$A5,Sessions!$B:$B,"Claude")</f>
        <v>4</v>
      </c>
      <c r="I5" s="12" t="n">
        <f aca="false">SUMIFS(Sessions!$I:$I,Sessions!$D:$D,$A5,Sessions!$B:$B,"Gemini")</f>
        <v>0</v>
      </c>
      <c r="J5" s="12" t="n">
        <f aca="false">SUMIFS(Sessions!$I:$I,Sessions!$D:$D,$A5,Sessions!$B:$B,"Copilot")</f>
        <v>0</v>
      </c>
      <c r="K5" s="14" t="n">
        <f aca="false">IFERROR(F5/E5,"")</f>
        <v>0.0442890442890443</v>
      </c>
      <c r="L5" s="15" t="n">
        <f aca="false">IFERROR(J5/E5,"")</f>
        <v>0</v>
      </c>
      <c r="M5" s="14" t="n">
        <f aca="false">IFERROR(E5/$E$106,"")</f>
        <v>0.0466202999347968</v>
      </c>
      <c r="N5" s="14" t="n">
        <f aca="false">IFERROR(F5/$F$106,"")</f>
        <v>0.0428893905191874</v>
      </c>
      <c r="O5" s="2" t="s">
        <v>380</v>
      </c>
      <c r="P5" s="11" t="n">
        <f aca="false">IF(F5=0,"",_xlfn.MINIFS(Sessions!$A:$A,Sessions!$D:$D,$A5))</f>
        <v>46160</v>
      </c>
      <c r="Q5" s="11" t="n">
        <f aca="false">IF(F5=0,"",_xlfn.MAXIFS(Sessions!$A:$A,Sessions!$D:$D,$A5))</f>
        <v>46269</v>
      </c>
      <c r="R5" s="12" t="n">
        <f aca="false">SUMIFS(Sessions!$J:$J,Sessions!$D:$D,$A5)</f>
        <v>15</v>
      </c>
    </row>
    <row r="6" customFormat="false" ht="15" hidden="false" customHeight="false" outlineLevel="0" collapsed="false">
      <c r="A6" s="2" t="s">
        <v>113</v>
      </c>
      <c r="B6" s="2" t="s">
        <v>114</v>
      </c>
      <c r="C6" s="2" t="s">
        <v>62</v>
      </c>
      <c r="D6" s="2" t="s">
        <v>112</v>
      </c>
      <c r="E6" s="12" t="n">
        <v>329</v>
      </c>
      <c r="F6" s="12" t="n">
        <f aca="false">SUMIFS(Sessions!$I:$I,Sessions!$D:$D,$A6)</f>
        <v>13</v>
      </c>
      <c r="G6" s="12" t="n">
        <f aca="false">SUMIFS(Sessions!$I:$I,Sessions!$D:$D,$A6,Sessions!$B:$B,"ChatGPT")</f>
        <v>13</v>
      </c>
      <c r="H6" s="12" t="n">
        <f aca="false">SUMIFS(Sessions!$I:$I,Sessions!$D:$D,$A6,Sessions!$B:$B,"Claude")</f>
        <v>0</v>
      </c>
      <c r="I6" s="12" t="n">
        <f aca="false">SUMIFS(Sessions!$I:$I,Sessions!$D:$D,$A6,Sessions!$B:$B,"Gemini")</f>
        <v>0</v>
      </c>
      <c r="J6" s="12" t="n">
        <f aca="false">SUMIFS(Sessions!$I:$I,Sessions!$D:$D,$A6,Sessions!$B:$B,"Copilot")</f>
        <v>0</v>
      </c>
      <c r="K6" s="14" t="n">
        <f aca="false">IFERROR(F6/E6,"")</f>
        <v>0.0395136778115502</v>
      </c>
      <c r="L6" s="15" t="n">
        <f aca="false">IFERROR(J6/E6,"")</f>
        <v>0</v>
      </c>
      <c r="M6" s="14" t="n">
        <f aca="false">IFERROR(E6/$E$106,"")</f>
        <v>0.0357530971527929</v>
      </c>
      <c r="N6" s="14" t="n">
        <f aca="false">IFERROR(F6/$F$106,"")</f>
        <v>0.0293453724604966</v>
      </c>
      <c r="O6" s="2" t="s">
        <v>380</v>
      </c>
      <c r="P6" s="11" t="n">
        <f aca="false">IF(F6=0,"",_xlfn.MINIFS(Sessions!$A:$A,Sessions!$D:$D,$A6))</f>
        <v>46170</v>
      </c>
      <c r="Q6" s="11" t="n">
        <f aca="false">IF(F6=0,"",_xlfn.MAXIFS(Sessions!$A:$A,Sessions!$D:$D,$A6))</f>
        <v>46275</v>
      </c>
      <c r="R6" s="12" t="n">
        <f aca="false">SUMIFS(Sessions!$J:$J,Sessions!$D:$D,$A6)</f>
        <v>13</v>
      </c>
    </row>
    <row r="7" customFormat="false" ht="15" hidden="false" customHeight="false" outlineLevel="0" collapsed="false">
      <c r="A7" s="2" t="s">
        <v>381</v>
      </c>
      <c r="B7" s="2" t="s">
        <v>382</v>
      </c>
      <c r="C7" s="2" t="s">
        <v>62</v>
      </c>
      <c r="D7" s="2"/>
      <c r="E7" s="12" t="n">
        <v>296</v>
      </c>
      <c r="F7" s="12" t="n">
        <f aca="false">SUMIFS(Sessions!$I:$I,Sessions!$D:$D,$A7)</f>
        <v>0</v>
      </c>
      <c r="G7" s="12" t="n">
        <f aca="false">SUMIFS(Sessions!$I:$I,Sessions!$D:$D,$A7,Sessions!$B:$B,"ChatGPT")</f>
        <v>0</v>
      </c>
      <c r="H7" s="12" t="n">
        <f aca="false">SUMIFS(Sessions!$I:$I,Sessions!$D:$D,$A7,Sessions!$B:$B,"Claude")</f>
        <v>0</v>
      </c>
      <c r="I7" s="12" t="n">
        <f aca="false">SUMIFS(Sessions!$I:$I,Sessions!$D:$D,$A7,Sessions!$B:$B,"Gemini")</f>
        <v>0</v>
      </c>
      <c r="J7" s="12" t="n">
        <f aca="false">SUMIFS(Sessions!$I:$I,Sessions!$D:$D,$A7,Sessions!$B:$B,"Copilot")</f>
        <v>0</v>
      </c>
      <c r="K7" s="14" t="n">
        <f aca="false">IFERROR(F7/E7,"")</f>
        <v>0</v>
      </c>
      <c r="L7" s="15" t="n">
        <f aca="false">IFERROR(J7/E7,"")</f>
        <v>0</v>
      </c>
      <c r="M7" s="14" t="n">
        <f aca="false">IFERROR(E7/$E$106,"")</f>
        <v>0.0321669202347316</v>
      </c>
      <c r="N7" s="14" t="n">
        <f aca="false">IFERROR(F7/$F$106,"")</f>
        <v>0</v>
      </c>
      <c r="O7" s="2" t="s">
        <v>383</v>
      </c>
      <c r="P7" s="11" t="str">
        <f aca="false">IF(F7=0,"",_xlfn.MINIFS(Sessions!$A:$A,Sessions!$D:$D,$A7))</f>
        <v/>
      </c>
      <c r="Q7" s="11" t="str">
        <f aca="false">IF(F7=0,"",_xlfn.MAXIFS(Sessions!$A:$A,Sessions!$D:$D,$A7))</f>
        <v/>
      </c>
      <c r="R7" s="12" t="n">
        <f aca="false">SUMIFS(Sessions!$J:$J,Sessions!$D:$D,$A7)</f>
        <v>0</v>
      </c>
    </row>
    <row r="8" customFormat="false" ht="15" hidden="false" customHeight="false" outlineLevel="0" collapsed="false">
      <c r="A8" s="2" t="s">
        <v>168</v>
      </c>
      <c r="B8" s="2" t="s">
        <v>169</v>
      </c>
      <c r="C8" s="2" t="s">
        <v>62</v>
      </c>
      <c r="D8" s="2" t="s">
        <v>167</v>
      </c>
      <c r="E8" s="12" t="n">
        <v>183</v>
      </c>
      <c r="F8" s="12" t="n">
        <f aca="false">SUMIFS(Sessions!$I:$I,Sessions!$D:$D,$A8)</f>
        <v>21</v>
      </c>
      <c r="G8" s="12" t="n">
        <f aca="false">SUMIFS(Sessions!$I:$I,Sessions!$D:$D,$A8,Sessions!$B:$B,"ChatGPT")</f>
        <v>20</v>
      </c>
      <c r="H8" s="12" t="n">
        <f aca="false">SUMIFS(Sessions!$I:$I,Sessions!$D:$D,$A8,Sessions!$B:$B,"Claude")</f>
        <v>1</v>
      </c>
      <c r="I8" s="12" t="n">
        <f aca="false">SUMIFS(Sessions!$I:$I,Sessions!$D:$D,$A8,Sessions!$B:$B,"Gemini")</f>
        <v>0</v>
      </c>
      <c r="J8" s="12" t="n">
        <f aca="false">SUMIFS(Sessions!$I:$I,Sessions!$D:$D,$A8,Sessions!$B:$B,"Copilot")</f>
        <v>0</v>
      </c>
      <c r="K8" s="14" t="n">
        <f aca="false">IFERROR(F8/E8,"")</f>
        <v>0.114754098360656</v>
      </c>
      <c r="L8" s="15" t="n">
        <f aca="false">IFERROR(J8/E8,"")</f>
        <v>0</v>
      </c>
      <c r="M8" s="14" t="n">
        <f aca="false">IFERROR(E8/$E$106,"")</f>
        <v>0.0198869810910672</v>
      </c>
      <c r="N8" s="14" t="n">
        <f aca="false">IFERROR(F8/$F$106,"")</f>
        <v>0.0474040632054176</v>
      </c>
      <c r="O8" s="2" t="s">
        <v>380</v>
      </c>
      <c r="P8" s="11" t="n">
        <f aca="false">IF(F8=0,"",_xlfn.MINIFS(Sessions!$A:$A,Sessions!$D:$D,$A8))</f>
        <v>46210</v>
      </c>
      <c r="Q8" s="11" t="n">
        <f aca="false">IF(F8=0,"",_xlfn.MAXIFS(Sessions!$A:$A,Sessions!$D:$D,$A8))</f>
        <v>46273</v>
      </c>
      <c r="R8" s="12" t="n">
        <f aca="false">SUMIFS(Sessions!$J:$J,Sessions!$D:$D,$A8)</f>
        <v>15</v>
      </c>
    </row>
    <row r="9" customFormat="false" ht="15" hidden="false" customHeight="false" outlineLevel="0" collapsed="false">
      <c r="A9" s="2" t="s">
        <v>203</v>
      </c>
      <c r="B9" s="2" t="s">
        <v>204</v>
      </c>
      <c r="C9" s="2" t="s">
        <v>62</v>
      </c>
      <c r="D9" s="2" t="s">
        <v>202</v>
      </c>
      <c r="E9" s="12" t="n">
        <v>177</v>
      </c>
      <c r="F9" s="12" t="n">
        <f aca="false">SUMIFS(Sessions!$I:$I,Sessions!$D:$D,$A9)</f>
        <v>10</v>
      </c>
      <c r="G9" s="12" t="n">
        <f aca="false">SUMIFS(Sessions!$I:$I,Sessions!$D:$D,$A9,Sessions!$B:$B,"ChatGPT")</f>
        <v>10</v>
      </c>
      <c r="H9" s="12" t="n">
        <f aca="false">SUMIFS(Sessions!$I:$I,Sessions!$D:$D,$A9,Sessions!$B:$B,"Claude")</f>
        <v>0</v>
      </c>
      <c r="I9" s="12" t="n">
        <f aca="false">SUMIFS(Sessions!$I:$I,Sessions!$D:$D,$A9,Sessions!$B:$B,"Gemini")</f>
        <v>0</v>
      </c>
      <c r="J9" s="12" t="n">
        <f aca="false">SUMIFS(Sessions!$I:$I,Sessions!$D:$D,$A9,Sessions!$B:$B,"Copilot")</f>
        <v>0</v>
      </c>
      <c r="K9" s="14" t="n">
        <f aca="false">IFERROR(F9/E9,"")</f>
        <v>0.0564971751412429</v>
      </c>
      <c r="L9" s="15" t="n">
        <f aca="false">IFERROR(J9/E9,"")</f>
        <v>0</v>
      </c>
      <c r="M9" s="14" t="n">
        <f aca="false">IFERROR(E9/$E$106,"")</f>
        <v>0.0192349489241469</v>
      </c>
      <c r="N9" s="14" t="n">
        <f aca="false">IFERROR(F9/$F$106,"")</f>
        <v>0.0225733634311512</v>
      </c>
      <c r="O9" s="2" t="s">
        <v>380</v>
      </c>
      <c r="P9" s="11" t="n">
        <f aca="false">IF(F9=0,"",_xlfn.MINIFS(Sessions!$A:$A,Sessions!$D:$D,$A9))</f>
        <v>46230</v>
      </c>
      <c r="Q9" s="11" t="n">
        <f aca="false">IF(F9=0,"",_xlfn.MAXIFS(Sessions!$A:$A,Sessions!$D:$D,$A9))</f>
        <v>46274</v>
      </c>
      <c r="R9" s="12" t="n">
        <f aca="false">SUMIFS(Sessions!$J:$J,Sessions!$D:$D,$A9)</f>
        <v>9</v>
      </c>
    </row>
    <row r="10" customFormat="false" ht="15" hidden="false" customHeight="false" outlineLevel="0" collapsed="false">
      <c r="A10" s="2" t="s">
        <v>146</v>
      </c>
      <c r="B10" s="2" t="s">
        <v>134</v>
      </c>
      <c r="C10" s="2" t="s">
        <v>147</v>
      </c>
      <c r="D10" s="2" t="s">
        <v>145</v>
      </c>
      <c r="E10" s="12" t="n">
        <v>138</v>
      </c>
      <c r="F10" s="12" t="n">
        <f aca="false">SUMIFS(Sessions!$I:$I,Sessions!$D:$D,$A10)</f>
        <v>24</v>
      </c>
      <c r="G10" s="12" t="n">
        <f aca="false">SUMIFS(Sessions!$I:$I,Sessions!$D:$D,$A10,Sessions!$B:$B,"ChatGPT")</f>
        <v>18</v>
      </c>
      <c r="H10" s="12" t="n">
        <f aca="false">SUMIFS(Sessions!$I:$I,Sessions!$D:$D,$A10,Sessions!$B:$B,"Claude")</f>
        <v>1</v>
      </c>
      <c r="I10" s="12" t="n">
        <f aca="false">SUMIFS(Sessions!$I:$I,Sessions!$D:$D,$A10,Sessions!$B:$B,"Gemini")</f>
        <v>5</v>
      </c>
      <c r="J10" s="12" t="n">
        <f aca="false">SUMIFS(Sessions!$I:$I,Sessions!$D:$D,$A10,Sessions!$B:$B,"Copilot")</f>
        <v>0</v>
      </c>
      <c r="K10" s="14" t="n">
        <f aca="false">IFERROR(F10/E10,"")</f>
        <v>0.173913043478261</v>
      </c>
      <c r="L10" s="15" t="n">
        <f aca="false">IFERROR(J10/E10,"")</f>
        <v>0</v>
      </c>
      <c r="M10" s="14" t="n">
        <f aca="false">IFERROR(E10/$E$106,"")</f>
        <v>0.0149967398391654</v>
      </c>
      <c r="N10" s="14" t="n">
        <f aca="false">IFERROR(F10/$F$106,"")</f>
        <v>0.054176072234763</v>
      </c>
      <c r="O10" s="2" t="s">
        <v>380</v>
      </c>
      <c r="P10" s="11" t="n">
        <f aca="false">IF(F10=0,"",_xlfn.MINIFS(Sessions!$A:$A,Sessions!$D:$D,$A10))</f>
        <v>46197</v>
      </c>
      <c r="Q10" s="11" t="n">
        <f aca="false">IF(F10=0,"",_xlfn.MAXIFS(Sessions!$A:$A,Sessions!$D:$D,$A10))</f>
        <v>46275</v>
      </c>
      <c r="R10" s="12" t="n">
        <f aca="false">SUMIFS(Sessions!$J:$J,Sessions!$D:$D,$A10)</f>
        <v>18</v>
      </c>
    </row>
    <row r="11" customFormat="false" ht="15" hidden="false" customHeight="false" outlineLevel="0" collapsed="false">
      <c r="A11" s="2" t="s">
        <v>207</v>
      </c>
      <c r="B11" s="2" t="s">
        <v>208</v>
      </c>
      <c r="C11" s="2" t="s">
        <v>94</v>
      </c>
      <c r="D11" s="2" t="s">
        <v>206</v>
      </c>
      <c r="E11" s="12" t="n">
        <v>135</v>
      </c>
      <c r="F11" s="12" t="n">
        <f aca="false">SUMIFS(Sessions!$I:$I,Sessions!$D:$D,$A11)</f>
        <v>2</v>
      </c>
      <c r="G11" s="12" t="n">
        <f aca="false">SUMIFS(Sessions!$I:$I,Sessions!$D:$D,$A11,Sessions!$B:$B,"ChatGPT")</f>
        <v>1</v>
      </c>
      <c r="H11" s="12" t="n">
        <f aca="false">SUMIFS(Sessions!$I:$I,Sessions!$D:$D,$A11,Sessions!$B:$B,"Claude")</f>
        <v>0</v>
      </c>
      <c r="I11" s="12" t="n">
        <f aca="false">SUMIFS(Sessions!$I:$I,Sessions!$D:$D,$A11,Sessions!$B:$B,"Gemini")</f>
        <v>1</v>
      </c>
      <c r="J11" s="12" t="n">
        <f aca="false">SUMIFS(Sessions!$I:$I,Sessions!$D:$D,$A11,Sessions!$B:$B,"Copilot")</f>
        <v>0</v>
      </c>
      <c r="K11" s="14" t="n">
        <f aca="false">IFERROR(F11/E11,"")</f>
        <v>0.0148148148148148</v>
      </c>
      <c r="L11" s="15" t="n">
        <f aca="false">IFERROR(J11/E11,"")</f>
        <v>0</v>
      </c>
      <c r="M11" s="14" t="n">
        <f aca="false">IFERROR(E11/$E$106,"")</f>
        <v>0.0146707237557053</v>
      </c>
      <c r="N11" s="14" t="n">
        <f aca="false">IFERROR(F11/$F$106,"")</f>
        <v>0.00451467268623025</v>
      </c>
      <c r="O11" s="2" t="s">
        <v>380</v>
      </c>
      <c r="P11" s="11" t="n">
        <f aca="false">IF(F11=0,"",_xlfn.MINIFS(Sessions!$A:$A,Sessions!$D:$D,$A11))</f>
        <v>46231</v>
      </c>
      <c r="Q11" s="11" t="n">
        <f aca="false">IF(F11=0,"",_xlfn.MAXIFS(Sessions!$A:$A,Sessions!$D:$D,$A11))</f>
        <v>46244</v>
      </c>
      <c r="R11" s="12" t="n">
        <f aca="false">SUMIFS(Sessions!$J:$J,Sessions!$D:$D,$A11)</f>
        <v>2</v>
      </c>
    </row>
    <row r="12" customFormat="false" ht="15" hidden="false" customHeight="false" outlineLevel="0" collapsed="false">
      <c r="A12" s="2" t="s">
        <v>164</v>
      </c>
      <c r="B12" s="2" t="s">
        <v>165</v>
      </c>
      <c r="C12" s="2" t="s">
        <v>62</v>
      </c>
      <c r="D12" s="2" t="s">
        <v>163</v>
      </c>
      <c r="E12" s="12" t="n">
        <v>123</v>
      </c>
      <c r="F12" s="12" t="n">
        <f aca="false">SUMIFS(Sessions!$I:$I,Sessions!$D:$D,$A12)</f>
        <v>4</v>
      </c>
      <c r="G12" s="12" t="n">
        <f aca="false">SUMIFS(Sessions!$I:$I,Sessions!$D:$D,$A12,Sessions!$B:$B,"ChatGPT")</f>
        <v>4</v>
      </c>
      <c r="H12" s="12" t="n">
        <f aca="false">SUMIFS(Sessions!$I:$I,Sessions!$D:$D,$A12,Sessions!$B:$B,"Claude")</f>
        <v>0</v>
      </c>
      <c r="I12" s="12" t="n">
        <f aca="false">SUMIFS(Sessions!$I:$I,Sessions!$D:$D,$A12,Sessions!$B:$B,"Gemini")</f>
        <v>0</v>
      </c>
      <c r="J12" s="12" t="n">
        <f aca="false">SUMIFS(Sessions!$I:$I,Sessions!$D:$D,$A12,Sessions!$B:$B,"Copilot")</f>
        <v>0</v>
      </c>
      <c r="K12" s="14" t="n">
        <f aca="false">IFERROR(F12/E12,"")</f>
        <v>0.032520325203252</v>
      </c>
      <c r="L12" s="15" t="n">
        <f aca="false">IFERROR(J12/E12,"")</f>
        <v>0</v>
      </c>
      <c r="M12" s="14" t="n">
        <f aca="false">IFERROR(E12/$E$106,"")</f>
        <v>0.0133666594218648</v>
      </c>
      <c r="N12" s="14" t="n">
        <f aca="false">IFERROR(F12/$F$106,"")</f>
        <v>0.0090293453724605</v>
      </c>
      <c r="O12" s="2" t="s">
        <v>380</v>
      </c>
      <c r="P12" s="11" t="n">
        <f aca="false">IF(F12=0,"",_xlfn.MINIFS(Sessions!$A:$A,Sessions!$D:$D,$A12))</f>
        <v>46209</v>
      </c>
      <c r="Q12" s="11" t="n">
        <f aca="false">IF(F12=0,"",_xlfn.MAXIFS(Sessions!$A:$A,Sessions!$D:$D,$A12))</f>
        <v>46272</v>
      </c>
      <c r="R12" s="12" t="n">
        <f aca="false">SUMIFS(Sessions!$J:$J,Sessions!$D:$D,$A12)</f>
        <v>4</v>
      </c>
    </row>
    <row r="13" customFormat="false" ht="15" hidden="false" customHeight="false" outlineLevel="0" collapsed="false">
      <c r="A13" s="2" t="s">
        <v>333</v>
      </c>
      <c r="B13" s="2" t="s">
        <v>334</v>
      </c>
      <c r="C13" s="2" t="s">
        <v>62</v>
      </c>
      <c r="D13" s="2" t="s">
        <v>332</v>
      </c>
      <c r="E13" s="12" t="n">
        <v>112</v>
      </c>
      <c r="F13" s="12" t="n">
        <f aca="false">SUMIFS(Sessions!$I:$I,Sessions!$D:$D,$A13)</f>
        <v>7</v>
      </c>
      <c r="G13" s="12" t="n">
        <f aca="false">SUMIFS(Sessions!$I:$I,Sessions!$D:$D,$A13,Sessions!$B:$B,"ChatGPT")</f>
        <v>7</v>
      </c>
      <c r="H13" s="12" t="n">
        <f aca="false">SUMIFS(Sessions!$I:$I,Sessions!$D:$D,$A13,Sessions!$B:$B,"Claude")</f>
        <v>0</v>
      </c>
      <c r="I13" s="12" t="n">
        <f aca="false">SUMIFS(Sessions!$I:$I,Sessions!$D:$D,$A13,Sessions!$B:$B,"Gemini")</f>
        <v>0</v>
      </c>
      <c r="J13" s="12" t="n">
        <f aca="false">SUMIFS(Sessions!$I:$I,Sessions!$D:$D,$A13,Sessions!$B:$B,"Copilot")</f>
        <v>0</v>
      </c>
      <c r="K13" s="14" t="n">
        <f aca="false">IFERROR(F13/E13,"")</f>
        <v>0.0625</v>
      </c>
      <c r="L13" s="15" t="n">
        <f aca="false">IFERROR(J13/E13,"")</f>
        <v>0</v>
      </c>
      <c r="M13" s="14" t="n">
        <f aca="false">IFERROR(E13/$E$106,"")</f>
        <v>0.0121712671158444</v>
      </c>
      <c r="N13" s="14" t="n">
        <f aca="false">IFERROR(F13/$F$106,"")</f>
        <v>0.0158013544018059</v>
      </c>
      <c r="O13" s="2" t="s">
        <v>380</v>
      </c>
      <c r="P13" s="11" t="n">
        <f aca="false">IF(F13=0,"",_xlfn.MINIFS(Sessions!$A:$A,Sessions!$D:$D,$A13))</f>
        <v>46262</v>
      </c>
      <c r="Q13" s="11" t="n">
        <f aca="false">IF(F13=0,"",_xlfn.MAXIFS(Sessions!$A:$A,Sessions!$D:$D,$A13))</f>
        <v>46269</v>
      </c>
      <c r="R13" s="12" t="n">
        <f aca="false">SUMIFS(Sessions!$J:$J,Sessions!$D:$D,$A13)</f>
        <v>5</v>
      </c>
    </row>
    <row r="14" customFormat="false" ht="15" hidden="false" customHeight="false" outlineLevel="0" collapsed="false">
      <c r="A14" s="2" t="s">
        <v>200</v>
      </c>
      <c r="B14" s="2" t="s">
        <v>201</v>
      </c>
      <c r="C14" s="2" t="s">
        <v>62</v>
      </c>
      <c r="D14" s="2" t="s">
        <v>199</v>
      </c>
      <c r="E14" s="12" t="n">
        <v>109</v>
      </c>
      <c r="F14" s="12" t="n">
        <f aca="false">SUMIFS(Sessions!$I:$I,Sessions!$D:$D,$A14)</f>
        <v>3</v>
      </c>
      <c r="G14" s="12" t="n">
        <f aca="false">SUMIFS(Sessions!$I:$I,Sessions!$D:$D,$A14,Sessions!$B:$B,"ChatGPT")</f>
        <v>3</v>
      </c>
      <c r="H14" s="12" t="n">
        <f aca="false">SUMIFS(Sessions!$I:$I,Sessions!$D:$D,$A14,Sessions!$B:$B,"Claude")</f>
        <v>0</v>
      </c>
      <c r="I14" s="12" t="n">
        <f aca="false">SUMIFS(Sessions!$I:$I,Sessions!$D:$D,$A14,Sessions!$B:$B,"Gemini")</f>
        <v>0</v>
      </c>
      <c r="J14" s="12" t="n">
        <f aca="false">SUMIFS(Sessions!$I:$I,Sessions!$D:$D,$A14,Sessions!$B:$B,"Copilot")</f>
        <v>0</v>
      </c>
      <c r="K14" s="14" t="n">
        <f aca="false">IFERROR(F14/E14,"")</f>
        <v>0.0275229357798165</v>
      </c>
      <c r="L14" s="15" t="n">
        <f aca="false">IFERROR(J14/E14,"")</f>
        <v>0</v>
      </c>
      <c r="M14" s="14" t="n">
        <f aca="false">IFERROR(E14/$E$106,"")</f>
        <v>0.0118452510323843</v>
      </c>
      <c r="N14" s="14" t="n">
        <f aca="false">IFERROR(F14/$F$106,"")</f>
        <v>0.00677200902934537</v>
      </c>
      <c r="O14" s="2" t="s">
        <v>380</v>
      </c>
      <c r="P14" s="11" t="n">
        <f aca="false">IF(F14=0,"",_xlfn.MINIFS(Sessions!$A:$A,Sessions!$D:$D,$A14))</f>
        <v>46230</v>
      </c>
      <c r="Q14" s="11" t="n">
        <f aca="false">IF(F14=0,"",_xlfn.MAXIFS(Sessions!$A:$A,Sessions!$D:$D,$A14))</f>
        <v>46258</v>
      </c>
      <c r="R14" s="12" t="n">
        <f aca="false">SUMIFS(Sessions!$J:$J,Sessions!$D:$D,$A14)</f>
        <v>3</v>
      </c>
    </row>
    <row r="15" customFormat="false" ht="15" hidden="false" customHeight="false" outlineLevel="0" collapsed="false">
      <c r="A15" s="2" t="s">
        <v>60</v>
      </c>
      <c r="B15" s="2" t="s">
        <v>61</v>
      </c>
      <c r="C15" s="2" t="s">
        <v>62</v>
      </c>
      <c r="D15" s="2" t="s">
        <v>59</v>
      </c>
      <c r="E15" s="12" t="n">
        <v>100</v>
      </c>
      <c r="F15" s="12" t="n">
        <f aca="false">SUMIFS(Sessions!$I:$I,Sessions!$D:$D,$A15)</f>
        <v>27</v>
      </c>
      <c r="G15" s="12" t="n">
        <f aca="false">SUMIFS(Sessions!$I:$I,Sessions!$D:$D,$A15,Sessions!$B:$B,"ChatGPT")</f>
        <v>25</v>
      </c>
      <c r="H15" s="12" t="n">
        <f aca="false">SUMIFS(Sessions!$I:$I,Sessions!$D:$D,$A15,Sessions!$B:$B,"Claude")</f>
        <v>2</v>
      </c>
      <c r="I15" s="12" t="n">
        <f aca="false">SUMIFS(Sessions!$I:$I,Sessions!$D:$D,$A15,Sessions!$B:$B,"Gemini")</f>
        <v>0</v>
      </c>
      <c r="J15" s="12" t="n">
        <f aca="false">SUMIFS(Sessions!$I:$I,Sessions!$D:$D,$A15,Sessions!$B:$B,"Copilot")</f>
        <v>0</v>
      </c>
      <c r="K15" s="14" t="n">
        <f aca="false">IFERROR(F15/E15,"")</f>
        <v>0.27</v>
      </c>
      <c r="L15" s="15" t="n">
        <f aca="false">IFERROR(J15/E15,"")</f>
        <v>0</v>
      </c>
      <c r="M15" s="14" t="n">
        <f aca="false">IFERROR(E15/$E$106,"")</f>
        <v>0.0108672027820039</v>
      </c>
      <c r="N15" s="14" t="n">
        <f aca="false">IFERROR(F15/$F$106,"")</f>
        <v>0.0609480812641084</v>
      </c>
      <c r="O15" s="2" t="s">
        <v>380</v>
      </c>
      <c r="P15" s="11" t="n">
        <f aca="false">IF(F15=0,"",_xlfn.MINIFS(Sessions!$A:$A,Sessions!$D:$D,$A15))</f>
        <v>46157</v>
      </c>
      <c r="Q15" s="11" t="n">
        <f aca="false">IF(F15=0,"",_xlfn.MAXIFS(Sessions!$A:$A,Sessions!$D:$D,$A15))</f>
        <v>46273</v>
      </c>
      <c r="R15" s="12" t="n">
        <f aca="false">SUMIFS(Sessions!$J:$J,Sessions!$D:$D,$A15)</f>
        <v>22</v>
      </c>
    </row>
    <row r="16" customFormat="false" ht="15" hidden="false" customHeight="false" outlineLevel="0" collapsed="false">
      <c r="A16" s="2" t="s">
        <v>384</v>
      </c>
      <c r="B16" s="2" t="s">
        <v>385</v>
      </c>
      <c r="C16" s="2" t="s">
        <v>62</v>
      </c>
      <c r="D16" s="2"/>
      <c r="E16" s="12" t="n">
        <v>99</v>
      </c>
      <c r="F16" s="12" t="n">
        <f aca="false">SUMIFS(Sessions!$I:$I,Sessions!$D:$D,$A16)</f>
        <v>0</v>
      </c>
      <c r="G16" s="12" t="n">
        <f aca="false">SUMIFS(Sessions!$I:$I,Sessions!$D:$D,$A16,Sessions!$B:$B,"ChatGPT")</f>
        <v>0</v>
      </c>
      <c r="H16" s="12" t="n">
        <f aca="false">SUMIFS(Sessions!$I:$I,Sessions!$D:$D,$A16,Sessions!$B:$B,"Claude")</f>
        <v>0</v>
      </c>
      <c r="I16" s="12" t="n">
        <f aca="false">SUMIFS(Sessions!$I:$I,Sessions!$D:$D,$A16,Sessions!$B:$B,"Gemini")</f>
        <v>0</v>
      </c>
      <c r="J16" s="12" t="n">
        <f aca="false">SUMIFS(Sessions!$I:$I,Sessions!$D:$D,$A16,Sessions!$B:$B,"Copilot")</f>
        <v>0</v>
      </c>
      <c r="K16" s="14" t="n">
        <f aca="false">IFERROR(F16/E16,"")</f>
        <v>0</v>
      </c>
      <c r="L16" s="15" t="n">
        <f aca="false">IFERROR(J16/E16,"")</f>
        <v>0</v>
      </c>
      <c r="M16" s="14" t="n">
        <f aca="false">IFERROR(E16/$E$106,"")</f>
        <v>0.0107585307541839</v>
      </c>
      <c r="N16" s="14" t="n">
        <f aca="false">IFERROR(F16/$F$106,"")</f>
        <v>0</v>
      </c>
      <c r="O16" s="2" t="s">
        <v>383</v>
      </c>
      <c r="P16" s="11" t="str">
        <f aca="false">IF(F16=0,"",_xlfn.MINIFS(Sessions!$A:$A,Sessions!$D:$D,$A16))</f>
        <v/>
      </c>
      <c r="Q16" s="11" t="str">
        <f aca="false">IF(F16=0,"",_xlfn.MAXIFS(Sessions!$A:$A,Sessions!$D:$D,$A16))</f>
        <v/>
      </c>
      <c r="R16" s="12" t="n">
        <f aca="false">SUMIFS(Sessions!$J:$J,Sessions!$D:$D,$A16)</f>
        <v>0</v>
      </c>
    </row>
    <row r="17" customFormat="false" ht="15" hidden="false" customHeight="false" outlineLevel="0" collapsed="false">
      <c r="A17" s="2" t="s">
        <v>149</v>
      </c>
      <c r="B17" s="2" t="s">
        <v>150</v>
      </c>
      <c r="C17" s="2" t="s">
        <v>109</v>
      </c>
      <c r="D17" s="2" t="s">
        <v>148</v>
      </c>
      <c r="E17" s="12" t="n">
        <v>90</v>
      </c>
      <c r="F17" s="12" t="n">
        <f aca="false">SUMIFS(Sessions!$I:$I,Sessions!$D:$D,$A17)</f>
        <v>5</v>
      </c>
      <c r="G17" s="12" t="n">
        <f aca="false">SUMIFS(Sessions!$I:$I,Sessions!$D:$D,$A17,Sessions!$B:$B,"ChatGPT")</f>
        <v>5</v>
      </c>
      <c r="H17" s="12" t="n">
        <f aca="false">SUMIFS(Sessions!$I:$I,Sessions!$D:$D,$A17,Sessions!$B:$B,"Claude")</f>
        <v>0</v>
      </c>
      <c r="I17" s="12" t="n">
        <f aca="false">SUMIFS(Sessions!$I:$I,Sessions!$D:$D,$A17,Sessions!$B:$B,"Gemini")</f>
        <v>0</v>
      </c>
      <c r="J17" s="12" t="n">
        <f aca="false">SUMIFS(Sessions!$I:$I,Sessions!$D:$D,$A17,Sessions!$B:$B,"Copilot")</f>
        <v>0</v>
      </c>
      <c r="K17" s="14" t="n">
        <f aca="false">IFERROR(F17/E17,"")</f>
        <v>0.0555555555555556</v>
      </c>
      <c r="L17" s="15" t="n">
        <f aca="false">IFERROR(J17/E17,"")</f>
        <v>0</v>
      </c>
      <c r="M17" s="14" t="n">
        <f aca="false">IFERROR(E17/$E$106,"")</f>
        <v>0.00978048250380352</v>
      </c>
      <c r="N17" s="14" t="n">
        <f aca="false">IFERROR(F17/$F$106,"")</f>
        <v>0.0112866817155756</v>
      </c>
      <c r="O17" s="2" t="s">
        <v>380</v>
      </c>
      <c r="P17" s="11" t="n">
        <f aca="false">IF(F17=0,"",_xlfn.MINIFS(Sessions!$A:$A,Sessions!$D:$D,$A17))</f>
        <v>46197</v>
      </c>
      <c r="Q17" s="11" t="n">
        <f aca="false">IF(F17=0,"",_xlfn.MAXIFS(Sessions!$A:$A,Sessions!$D:$D,$A17))</f>
        <v>46273</v>
      </c>
      <c r="R17" s="12" t="n">
        <f aca="false">SUMIFS(Sessions!$J:$J,Sessions!$D:$D,$A17)</f>
        <v>5</v>
      </c>
    </row>
    <row r="18" customFormat="false" ht="15" hidden="false" customHeight="false" outlineLevel="0" collapsed="false">
      <c r="A18" s="2" t="s">
        <v>386</v>
      </c>
      <c r="B18" s="2" t="s">
        <v>387</v>
      </c>
      <c r="C18" s="2" t="s">
        <v>62</v>
      </c>
      <c r="D18" s="2"/>
      <c r="E18" s="12" t="n">
        <v>89</v>
      </c>
      <c r="F18" s="12" t="n">
        <f aca="false">SUMIFS(Sessions!$I:$I,Sessions!$D:$D,$A18)</f>
        <v>0</v>
      </c>
      <c r="G18" s="12" t="n">
        <f aca="false">SUMIFS(Sessions!$I:$I,Sessions!$D:$D,$A18,Sessions!$B:$B,"ChatGPT")</f>
        <v>0</v>
      </c>
      <c r="H18" s="12" t="n">
        <f aca="false">SUMIFS(Sessions!$I:$I,Sessions!$D:$D,$A18,Sessions!$B:$B,"Claude")</f>
        <v>0</v>
      </c>
      <c r="I18" s="12" t="n">
        <f aca="false">SUMIFS(Sessions!$I:$I,Sessions!$D:$D,$A18,Sessions!$B:$B,"Gemini")</f>
        <v>0</v>
      </c>
      <c r="J18" s="12" t="n">
        <f aca="false">SUMIFS(Sessions!$I:$I,Sessions!$D:$D,$A18,Sessions!$B:$B,"Copilot")</f>
        <v>0</v>
      </c>
      <c r="K18" s="14" t="n">
        <f aca="false">IFERROR(F18/E18,"")</f>
        <v>0</v>
      </c>
      <c r="L18" s="15" t="n">
        <f aca="false">IFERROR(J18/E18,"")</f>
        <v>0</v>
      </c>
      <c r="M18" s="14" t="n">
        <f aca="false">IFERROR(E18/$E$106,"")</f>
        <v>0.00967181047598348</v>
      </c>
      <c r="N18" s="14" t="n">
        <f aca="false">IFERROR(F18/$F$106,"")</f>
        <v>0</v>
      </c>
      <c r="O18" s="2" t="s">
        <v>383</v>
      </c>
      <c r="P18" s="11" t="str">
        <f aca="false">IF(F18=0,"",_xlfn.MINIFS(Sessions!$A:$A,Sessions!$D:$D,$A18))</f>
        <v/>
      </c>
      <c r="Q18" s="11" t="str">
        <f aca="false">IF(F18=0,"",_xlfn.MAXIFS(Sessions!$A:$A,Sessions!$D:$D,$A18))</f>
        <v/>
      </c>
      <c r="R18" s="12" t="n">
        <f aca="false">SUMIFS(Sessions!$J:$J,Sessions!$D:$D,$A18)</f>
        <v>0</v>
      </c>
    </row>
    <row r="19" customFormat="false" ht="15" hidden="false" customHeight="false" outlineLevel="0" collapsed="false">
      <c r="A19" s="2" t="s">
        <v>388</v>
      </c>
      <c r="B19" s="2" t="s">
        <v>389</v>
      </c>
      <c r="C19" s="2" t="s">
        <v>62</v>
      </c>
      <c r="D19" s="2"/>
      <c r="E19" s="12" t="n">
        <v>89</v>
      </c>
      <c r="F19" s="12" t="n">
        <f aca="false">SUMIFS(Sessions!$I:$I,Sessions!$D:$D,$A19)</f>
        <v>0</v>
      </c>
      <c r="G19" s="12" t="n">
        <f aca="false">SUMIFS(Sessions!$I:$I,Sessions!$D:$D,$A19,Sessions!$B:$B,"ChatGPT")</f>
        <v>0</v>
      </c>
      <c r="H19" s="12" t="n">
        <f aca="false">SUMIFS(Sessions!$I:$I,Sessions!$D:$D,$A19,Sessions!$B:$B,"Claude")</f>
        <v>0</v>
      </c>
      <c r="I19" s="12" t="n">
        <f aca="false">SUMIFS(Sessions!$I:$I,Sessions!$D:$D,$A19,Sessions!$B:$B,"Gemini")</f>
        <v>0</v>
      </c>
      <c r="J19" s="12" t="n">
        <f aca="false">SUMIFS(Sessions!$I:$I,Sessions!$D:$D,$A19,Sessions!$B:$B,"Copilot")</f>
        <v>0</v>
      </c>
      <c r="K19" s="14" t="n">
        <f aca="false">IFERROR(F19/E19,"")</f>
        <v>0</v>
      </c>
      <c r="L19" s="15" t="n">
        <f aca="false">IFERROR(J19/E19,"")</f>
        <v>0</v>
      </c>
      <c r="M19" s="14" t="n">
        <f aca="false">IFERROR(E19/$E$106,"")</f>
        <v>0.00967181047598348</v>
      </c>
      <c r="N19" s="14" t="n">
        <f aca="false">IFERROR(F19/$F$106,"")</f>
        <v>0</v>
      </c>
      <c r="O19" s="2" t="s">
        <v>383</v>
      </c>
      <c r="P19" s="11" t="str">
        <f aca="false">IF(F19=0,"",_xlfn.MINIFS(Sessions!$A:$A,Sessions!$D:$D,$A19))</f>
        <v/>
      </c>
      <c r="Q19" s="11" t="str">
        <f aca="false">IF(F19=0,"",_xlfn.MAXIFS(Sessions!$A:$A,Sessions!$D:$D,$A19))</f>
        <v/>
      </c>
      <c r="R19" s="12" t="n">
        <f aca="false">SUMIFS(Sessions!$J:$J,Sessions!$D:$D,$A19)</f>
        <v>0</v>
      </c>
    </row>
    <row r="20" customFormat="false" ht="15" hidden="false" customHeight="false" outlineLevel="0" collapsed="false">
      <c r="A20" s="2" t="s">
        <v>320</v>
      </c>
      <c r="B20" s="2" t="s">
        <v>321</v>
      </c>
      <c r="C20" s="2" t="s">
        <v>62</v>
      </c>
      <c r="D20" s="2" t="s">
        <v>319</v>
      </c>
      <c r="E20" s="12" t="n">
        <v>85</v>
      </c>
      <c r="F20" s="12" t="n">
        <f aca="false">SUMIFS(Sessions!$I:$I,Sessions!$D:$D,$A20)</f>
        <v>5</v>
      </c>
      <c r="G20" s="12" t="n">
        <f aca="false">SUMIFS(Sessions!$I:$I,Sessions!$D:$D,$A20,Sessions!$B:$B,"ChatGPT")</f>
        <v>5</v>
      </c>
      <c r="H20" s="12" t="n">
        <f aca="false">SUMIFS(Sessions!$I:$I,Sessions!$D:$D,$A20,Sessions!$B:$B,"Claude")</f>
        <v>0</v>
      </c>
      <c r="I20" s="12" t="n">
        <f aca="false">SUMIFS(Sessions!$I:$I,Sessions!$D:$D,$A20,Sessions!$B:$B,"Gemini")</f>
        <v>0</v>
      </c>
      <c r="J20" s="12" t="n">
        <f aca="false">SUMIFS(Sessions!$I:$I,Sessions!$D:$D,$A20,Sessions!$B:$B,"Copilot")</f>
        <v>0</v>
      </c>
      <c r="K20" s="14" t="n">
        <f aca="false">IFERROR(F20/E20,"")</f>
        <v>0.0588235294117647</v>
      </c>
      <c r="L20" s="15" t="n">
        <f aca="false">IFERROR(J20/E20,"")</f>
        <v>0</v>
      </c>
      <c r="M20" s="14" t="n">
        <f aca="false">IFERROR(E20/$E$106,"")</f>
        <v>0.00923712236470333</v>
      </c>
      <c r="N20" s="14" t="n">
        <f aca="false">IFERROR(F20/$F$106,"")</f>
        <v>0.0112866817155756</v>
      </c>
      <c r="O20" s="2" t="s">
        <v>380</v>
      </c>
      <c r="P20" s="11" t="n">
        <f aca="false">IF(F20=0,"",_xlfn.MINIFS(Sessions!$A:$A,Sessions!$D:$D,$A20))</f>
        <v>46260</v>
      </c>
      <c r="Q20" s="11" t="n">
        <f aca="false">IF(F20=0,"",_xlfn.MAXIFS(Sessions!$A:$A,Sessions!$D:$D,$A20))</f>
        <v>46267</v>
      </c>
      <c r="R20" s="12" t="n">
        <f aca="false">SUMIFS(Sessions!$J:$J,Sessions!$D:$D,$A20)</f>
        <v>3</v>
      </c>
    </row>
    <row r="21" customFormat="false" ht="15" hidden="false" customHeight="false" outlineLevel="0" collapsed="false">
      <c r="A21" s="2" t="s">
        <v>390</v>
      </c>
      <c r="B21" s="2" t="s">
        <v>391</v>
      </c>
      <c r="C21" s="2" t="s">
        <v>62</v>
      </c>
      <c r="D21" s="2"/>
      <c r="E21" s="12" t="n">
        <v>80</v>
      </c>
      <c r="F21" s="12" t="n">
        <f aca="false">SUMIFS(Sessions!$I:$I,Sessions!$D:$D,$A21)</f>
        <v>0</v>
      </c>
      <c r="G21" s="12" t="n">
        <f aca="false">SUMIFS(Sessions!$I:$I,Sessions!$D:$D,$A21,Sessions!$B:$B,"ChatGPT")</f>
        <v>0</v>
      </c>
      <c r="H21" s="12" t="n">
        <f aca="false">SUMIFS(Sessions!$I:$I,Sessions!$D:$D,$A21,Sessions!$B:$B,"Claude")</f>
        <v>0</v>
      </c>
      <c r="I21" s="12" t="n">
        <f aca="false">SUMIFS(Sessions!$I:$I,Sessions!$D:$D,$A21,Sessions!$B:$B,"Gemini")</f>
        <v>0</v>
      </c>
      <c r="J21" s="12" t="n">
        <f aca="false">SUMIFS(Sessions!$I:$I,Sessions!$D:$D,$A21,Sessions!$B:$B,"Copilot")</f>
        <v>0</v>
      </c>
      <c r="K21" s="14" t="n">
        <f aca="false">IFERROR(F21/E21,"")</f>
        <v>0</v>
      </c>
      <c r="L21" s="15" t="n">
        <f aca="false">IFERROR(J21/E21,"")</f>
        <v>0</v>
      </c>
      <c r="M21" s="14" t="n">
        <f aca="false">IFERROR(E21/$E$106,"")</f>
        <v>0.00869376222560313</v>
      </c>
      <c r="N21" s="14" t="n">
        <f aca="false">IFERROR(F21/$F$106,"")</f>
        <v>0</v>
      </c>
      <c r="O21" s="2" t="s">
        <v>383</v>
      </c>
      <c r="P21" s="11" t="str">
        <f aca="false">IF(F21=0,"",_xlfn.MINIFS(Sessions!$A:$A,Sessions!$D:$D,$A21))</f>
        <v/>
      </c>
      <c r="Q21" s="11" t="str">
        <f aca="false">IF(F21=0,"",_xlfn.MAXIFS(Sessions!$A:$A,Sessions!$D:$D,$A21))</f>
        <v/>
      </c>
      <c r="R21" s="12" t="n">
        <f aca="false">SUMIFS(Sessions!$J:$J,Sessions!$D:$D,$A21)</f>
        <v>0</v>
      </c>
    </row>
    <row r="22" customFormat="false" ht="15" hidden="false" customHeight="false" outlineLevel="0" collapsed="false">
      <c r="A22" s="2" t="s">
        <v>96</v>
      </c>
      <c r="B22" s="2" t="s">
        <v>97</v>
      </c>
      <c r="C22" s="2" t="s">
        <v>62</v>
      </c>
      <c r="D22" s="2" t="s">
        <v>95</v>
      </c>
      <c r="E22" s="12" t="n">
        <v>77</v>
      </c>
      <c r="F22" s="12" t="n">
        <f aca="false">SUMIFS(Sessions!$I:$I,Sessions!$D:$D,$A22)</f>
        <v>1</v>
      </c>
      <c r="G22" s="12" t="n">
        <f aca="false">SUMIFS(Sessions!$I:$I,Sessions!$D:$D,$A22,Sessions!$B:$B,"ChatGPT")</f>
        <v>0</v>
      </c>
      <c r="H22" s="12" t="n">
        <f aca="false">SUMIFS(Sessions!$I:$I,Sessions!$D:$D,$A22,Sessions!$B:$B,"Claude")</f>
        <v>1</v>
      </c>
      <c r="I22" s="12" t="n">
        <f aca="false">SUMIFS(Sessions!$I:$I,Sessions!$D:$D,$A22,Sessions!$B:$B,"Gemini")</f>
        <v>0</v>
      </c>
      <c r="J22" s="12" t="n">
        <f aca="false">SUMIFS(Sessions!$I:$I,Sessions!$D:$D,$A22,Sessions!$B:$B,"Copilot")</f>
        <v>0</v>
      </c>
      <c r="K22" s="14" t="n">
        <f aca="false">IFERROR(F22/E22,"")</f>
        <v>0.012987012987013</v>
      </c>
      <c r="L22" s="15" t="n">
        <f aca="false">IFERROR(J22/E22,"")</f>
        <v>0</v>
      </c>
      <c r="M22" s="14" t="n">
        <f aca="false">IFERROR(E22/$E$106,"")</f>
        <v>0.00836774614214301</v>
      </c>
      <c r="N22" s="14" t="n">
        <f aca="false">IFERROR(F22/$F$106,"")</f>
        <v>0.00225733634311512</v>
      </c>
      <c r="O22" s="2" t="s">
        <v>380</v>
      </c>
      <c r="P22" s="11" t="n">
        <f aca="false">IF(F22=0,"",_xlfn.MINIFS(Sessions!$A:$A,Sessions!$D:$D,$A22))</f>
        <v>46167</v>
      </c>
      <c r="Q22" s="11" t="n">
        <f aca="false">IF(F22=0,"",_xlfn.MAXIFS(Sessions!$A:$A,Sessions!$D:$D,$A22))</f>
        <v>46167</v>
      </c>
      <c r="R22" s="12" t="n">
        <f aca="false">SUMIFS(Sessions!$J:$J,Sessions!$D:$D,$A22)</f>
        <v>1</v>
      </c>
    </row>
    <row r="23" customFormat="false" ht="15" hidden="false" customHeight="false" outlineLevel="0" collapsed="false">
      <c r="A23" s="2" t="s">
        <v>72</v>
      </c>
      <c r="B23" s="2" t="s">
        <v>73</v>
      </c>
      <c r="C23" s="2" t="s">
        <v>62</v>
      </c>
      <c r="D23" s="2" t="s">
        <v>71</v>
      </c>
      <c r="E23" s="12" t="n">
        <v>75</v>
      </c>
      <c r="F23" s="12" t="n">
        <f aca="false">SUMIFS(Sessions!$I:$I,Sessions!$D:$D,$A23)</f>
        <v>11</v>
      </c>
      <c r="G23" s="12" t="n">
        <f aca="false">SUMIFS(Sessions!$I:$I,Sessions!$D:$D,$A23,Sessions!$B:$B,"ChatGPT")</f>
        <v>11</v>
      </c>
      <c r="H23" s="12" t="n">
        <f aca="false">SUMIFS(Sessions!$I:$I,Sessions!$D:$D,$A23,Sessions!$B:$B,"Claude")</f>
        <v>0</v>
      </c>
      <c r="I23" s="12" t="n">
        <f aca="false">SUMIFS(Sessions!$I:$I,Sessions!$D:$D,$A23,Sessions!$B:$B,"Gemini")</f>
        <v>0</v>
      </c>
      <c r="J23" s="12" t="n">
        <f aca="false">SUMIFS(Sessions!$I:$I,Sessions!$D:$D,$A23,Sessions!$B:$B,"Copilot")</f>
        <v>0</v>
      </c>
      <c r="K23" s="14" t="n">
        <f aca="false">IFERROR(F23/E23,"")</f>
        <v>0.146666666666667</v>
      </c>
      <c r="L23" s="15" t="n">
        <f aca="false">IFERROR(J23/E23,"")</f>
        <v>0</v>
      </c>
      <c r="M23" s="14" t="n">
        <f aca="false">IFERROR(E23/$E$106,"")</f>
        <v>0.00815040208650293</v>
      </c>
      <c r="N23" s="14" t="n">
        <f aca="false">IFERROR(F23/$F$106,"")</f>
        <v>0.0248306997742664</v>
      </c>
      <c r="O23" s="2" t="s">
        <v>380</v>
      </c>
      <c r="P23" s="11" t="n">
        <f aca="false">IF(F23=0,"",_xlfn.MINIFS(Sessions!$A:$A,Sessions!$D:$D,$A23))</f>
        <v>46161</v>
      </c>
      <c r="Q23" s="11" t="n">
        <f aca="false">IF(F23=0,"",_xlfn.MAXIFS(Sessions!$A:$A,Sessions!$D:$D,$A23))</f>
        <v>46270</v>
      </c>
      <c r="R23" s="12" t="n">
        <f aca="false">SUMIFS(Sessions!$J:$J,Sessions!$D:$D,$A23)</f>
        <v>10</v>
      </c>
    </row>
    <row r="24" customFormat="false" ht="15" hidden="false" customHeight="false" outlineLevel="0" collapsed="false">
      <c r="A24" s="2" t="s">
        <v>265</v>
      </c>
      <c r="B24" s="2" t="s">
        <v>266</v>
      </c>
      <c r="C24" s="2" t="s">
        <v>62</v>
      </c>
      <c r="D24" s="2" t="s">
        <v>264</v>
      </c>
      <c r="E24" s="12" t="n">
        <v>75</v>
      </c>
      <c r="F24" s="12" t="n">
        <f aca="false">SUMIFS(Sessions!$I:$I,Sessions!$D:$D,$A24)</f>
        <v>4</v>
      </c>
      <c r="G24" s="12" t="n">
        <f aca="false">SUMIFS(Sessions!$I:$I,Sessions!$D:$D,$A24,Sessions!$B:$B,"ChatGPT")</f>
        <v>3</v>
      </c>
      <c r="H24" s="12" t="n">
        <f aca="false">SUMIFS(Sessions!$I:$I,Sessions!$D:$D,$A24,Sessions!$B:$B,"Claude")</f>
        <v>0</v>
      </c>
      <c r="I24" s="12" t="n">
        <f aca="false">SUMIFS(Sessions!$I:$I,Sessions!$D:$D,$A24,Sessions!$B:$B,"Gemini")</f>
        <v>0</v>
      </c>
      <c r="J24" s="12" t="n">
        <f aca="false">SUMIFS(Sessions!$I:$I,Sessions!$D:$D,$A24,Sessions!$B:$B,"Copilot")</f>
        <v>1</v>
      </c>
      <c r="K24" s="14" t="n">
        <f aca="false">IFERROR(F24/E24,"")</f>
        <v>0.0533333333333333</v>
      </c>
      <c r="L24" s="15" t="n">
        <f aca="false">IFERROR(J24/E24,"")</f>
        <v>0.0133333333333333</v>
      </c>
      <c r="M24" s="14" t="n">
        <f aca="false">IFERROR(E24/$E$106,"")</f>
        <v>0.00815040208650293</v>
      </c>
      <c r="N24" s="14" t="n">
        <f aca="false">IFERROR(F24/$F$106,"")</f>
        <v>0.0090293453724605</v>
      </c>
      <c r="O24" s="2" t="s">
        <v>380</v>
      </c>
      <c r="P24" s="11" t="n">
        <f aca="false">IF(F24=0,"",_xlfn.MINIFS(Sessions!$A:$A,Sessions!$D:$D,$A24))</f>
        <v>46248</v>
      </c>
      <c r="Q24" s="11" t="n">
        <f aca="false">IF(F24=0,"",_xlfn.MAXIFS(Sessions!$A:$A,Sessions!$D:$D,$A24))</f>
        <v>46275</v>
      </c>
      <c r="R24" s="12" t="n">
        <f aca="false">SUMIFS(Sessions!$J:$J,Sessions!$D:$D,$A24)</f>
        <v>4</v>
      </c>
    </row>
    <row r="25" customFormat="false" ht="15" hidden="false" customHeight="false" outlineLevel="0" collapsed="false">
      <c r="A25" s="2" t="s">
        <v>137</v>
      </c>
      <c r="B25" s="2" t="s">
        <v>138</v>
      </c>
      <c r="C25" s="2" t="s">
        <v>62</v>
      </c>
      <c r="D25" s="2" t="s">
        <v>136</v>
      </c>
      <c r="E25" s="12" t="n">
        <v>71</v>
      </c>
      <c r="F25" s="12" t="n">
        <f aca="false">SUMIFS(Sessions!$I:$I,Sessions!$D:$D,$A25)</f>
        <v>6</v>
      </c>
      <c r="G25" s="12" t="n">
        <f aca="false">SUMIFS(Sessions!$I:$I,Sessions!$D:$D,$A25,Sessions!$B:$B,"ChatGPT")</f>
        <v>1</v>
      </c>
      <c r="H25" s="12" t="n">
        <f aca="false">SUMIFS(Sessions!$I:$I,Sessions!$D:$D,$A25,Sessions!$B:$B,"Claude")</f>
        <v>1</v>
      </c>
      <c r="I25" s="12" t="n">
        <f aca="false">SUMIFS(Sessions!$I:$I,Sessions!$D:$D,$A25,Sessions!$B:$B,"Gemini")</f>
        <v>4</v>
      </c>
      <c r="J25" s="12" t="n">
        <f aca="false">SUMIFS(Sessions!$I:$I,Sessions!$D:$D,$A25,Sessions!$B:$B,"Copilot")</f>
        <v>0</v>
      </c>
      <c r="K25" s="14" t="n">
        <f aca="false">IFERROR(F25/E25,"")</f>
        <v>0.0845070422535211</v>
      </c>
      <c r="L25" s="15" t="n">
        <f aca="false">IFERROR(J25/E25,"")</f>
        <v>0</v>
      </c>
      <c r="M25" s="14" t="n">
        <f aca="false">IFERROR(E25/$E$106,"")</f>
        <v>0.00771571397522278</v>
      </c>
      <c r="N25" s="14" t="n">
        <f aca="false">IFERROR(F25/$F$106,"")</f>
        <v>0.0135440180586907</v>
      </c>
      <c r="O25" s="2" t="s">
        <v>380</v>
      </c>
      <c r="P25" s="11" t="n">
        <f aca="false">IF(F25=0,"",_xlfn.MINIFS(Sessions!$A:$A,Sessions!$D:$D,$A25))</f>
        <v>46183</v>
      </c>
      <c r="Q25" s="11" t="n">
        <f aca="false">IF(F25=0,"",_xlfn.MAXIFS(Sessions!$A:$A,Sessions!$D:$D,$A25))</f>
        <v>46251</v>
      </c>
      <c r="R25" s="12" t="n">
        <f aca="false">SUMIFS(Sessions!$J:$J,Sessions!$D:$D,$A25)</f>
        <v>6</v>
      </c>
    </row>
    <row r="26" customFormat="false" ht="15" hidden="false" customHeight="false" outlineLevel="0" collapsed="false">
      <c r="A26" s="2" t="s">
        <v>237</v>
      </c>
      <c r="B26" s="2" t="s">
        <v>238</v>
      </c>
      <c r="C26" s="2" t="s">
        <v>62</v>
      </c>
      <c r="D26" s="2" t="s">
        <v>236</v>
      </c>
      <c r="E26" s="12" t="n">
        <v>71</v>
      </c>
      <c r="F26" s="12" t="n">
        <f aca="false">SUMIFS(Sessions!$I:$I,Sessions!$D:$D,$A26)</f>
        <v>1</v>
      </c>
      <c r="G26" s="12" t="n">
        <f aca="false">SUMIFS(Sessions!$I:$I,Sessions!$D:$D,$A26,Sessions!$B:$B,"ChatGPT")</f>
        <v>1</v>
      </c>
      <c r="H26" s="12" t="n">
        <f aca="false">SUMIFS(Sessions!$I:$I,Sessions!$D:$D,$A26,Sessions!$B:$B,"Claude")</f>
        <v>0</v>
      </c>
      <c r="I26" s="12" t="n">
        <f aca="false">SUMIFS(Sessions!$I:$I,Sessions!$D:$D,$A26,Sessions!$B:$B,"Gemini")</f>
        <v>0</v>
      </c>
      <c r="J26" s="12" t="n">
        <f aca="false">SUMIFS(Sessions!$I:$I,Sessions!$D:$D,$A26,Sessions!$B:$B,"Copilot")</f>
        <v>0</v>
      </c>
      <c r="K26" s="14" t="n">
        <f aca="false">IFERROR(F26/E26,"")</f>
        <v>0.0140845070422535</v>
      </c>
      <c r="L26" s="15" t="n">
        <f aca="false">IFERROR(J26/E26,"")</f>
        <v>0</v>
      </c>
      <c r="M26" s="14" t="n">
        <f aca="false">IFERROR(E26/$E$106,"")</f>
        <v>0.00771571397522278</v>
      </c>
      <c r="N26" s="14" t="n">
        <f aca="false">IFERROR(F26/$F$106,"")</f>
        <v>0.00225733634311512</v>
      </c>
      <c r="O26" s="2" t="s">
        <v>380</v>
      </c>
      <c r="P26" s="11" t="n">
        <f aca="false">IF(F26=0,"",_xlfn.MINIFS(Sessions!$A:$A,Sessions!$D:$D,$A26))</f>
        <v>46244</v>
      </c>
      <c r="Q26" s="11" t="n">
        <f aca="false">IF(F26=0,"",_xlfn.MAXIFS(Sessions!$A:$A,Sessions!$D:$D,$A26))</f>
        <v>46244</v>
      </c>
      <c r="R26" s="12" t="n">
        <f aca="false">SUMIFS(Sessions!$J:$J,Sessions!$D:$D,$A26)</f>
        <v>1</v>
      </c>
    </row>
    <row r="27" customFormat="false" ht="15" hidden="false" customHeight="false" outlineLevel="0" collapsed="false">
      <c r="A27" s="2" t="s">
        <v>282</v>
      </c>
      <c r="B27" s="2" t="s">
        <v>283</v>
      </c>
      <c r="C27" s="2" t="s">
        <v>62</v>
      </c>
      <c r="D27" s="2" t="s">
        <v>281</v>
      </c>
      <c r="E27" s="12" t="n">
        <v>67</v>
      </c>
      <c r="F27" s="12" t="n">
        <f aca="false">SUMIFS(Sessions!$I:$I,Sessions!$D:$D,$A27)</f>
        <v>3</v>
      </c>
      <c r="G27" s="12" t="n">
        <f aca="false">SUMIFS(Sessions!$I:$I,Sessions!$D:$D,$A27,Sessions!$B:$B,"ChatGPT")</f>
        <v>3</v>
      </c>
      <c r="H27" s="12" t="n">
        <f aca="false">SUMIFS(Sessions!$I:$I,Sessions!$D:$D,$A27,Sessions!$B:$B,"Claude")</f>
        <v>0</v>
      </c>
      <c r="I27" s="12" t="n">
        <f aca="false">SUMIFS(Sessions!$I:$I,Sessions!$D:$D,$A27,Sessions!$B:$B,"Gemini")</f>
        <v>0</v>
      </c>
      <c r="J27" s="12" t="n">
        <f aca="false">SUMIFS(Sessions!$I:$I,Sessions!$D:$D,$A27,Sessions!$B:$B,"Copilot")</f>
        <v>0</v>
      </c>
      <c r="K27" s="14" t="n">
        <f aca="false">IFERROR(F27/E27,"")</f>
        <v>0.0447761194029851</v>
      </c>
      <c r="L27" s="15" t="n">
        <f aca="false">IFERROR(J27/E27,"")</f>
        <v>0</v>
      </c>
      <c r="M27" s="14" t="n">
        <f aca="false">IFERROR(E27/$E$106,"")</f>
        <v>0.00728102586394262</v>
      </c>
      <c r="N27" s="14" t="n">
        <f aca="false">IFERROR(F27/$F$106,"")</f>
        <v>0.00677200902934537</v>
      </c>
      <c r="O27" s="2" t="s">
        <v>380</v>
      </c>
      <c r="P27" s="11" t="n">
        <f aca="false">IF(F27=0,"",_xlfn.MINIFS(Sessions!$A:$A,Sessions!$D:$D,$A27))</f>
        <v>46251</v>
      </c>
      <c r="Q27" s="11" t="n">
        <f aca="false">IF(F27=0,"",_xlfn.MAXIFS(Sessions!$A:$A,Sessions!$D:$D,$A27))</f>
        <v>46264</v>
      </c>
      <c r="R27" s="12" t="n">
        <f aca="false">SUMIFS(Sessions!$J:$J,Sessions!$D:$D,$A27)</f>
        <v>3</v>
      </c>
    </row>
    <row r="28" customFormat="false" ht="15" hidden="false" customHeight="false" outlineLevel="0" collapsed="false">
      <c r="A28" s="2" t="s">
        <v>66</v>
      </c>
      <c r="B28" s="2" t="s">
        <v>67</v>
      </c>
      <c r="C28" s="2" t="s">
        <v>62</v>
      </c>
      <c r="D28" s="2" t="s">
        <v>65</v>
      </c>
      <c r="E28" s="12" t="n">
        <v>60</v>
      </c>
      <c r="F28" s="12" t="n">
        <f aca="false">SUMIFS(Sessions!$I:$I,Sessions!$D:$D,$A28)</f>
        <v>44</v>
      </c>
      <c r="G28" s="12" t="n">
        <f aca="false">SUMIFS(Sessions!$I:$I,Sessions!$D:$D,$A28,Sessions!$B:$B,"ChatGPT")</f>
        <v>42</v>
      </c>
      <c r="H28" s="12" t="n">
        <f aca="false">SUMIFS(Sessions!$I:$I,Sessions!$D:$D,$A28,Sessions!$B:$B,"Claude")</f>
        <v>2</v>
      </c>
      <c r="I28" s="12" t="n">
        <f aca="false">SUMIFS(Sessions!$I:$I,Sessions!$D:$D,$A28,Sessions!$B:$B,"Gemini")</f>
        <v>0</v>
      </c>
      <c r="J28" s="12" t="n">
        <f aca="false">SUMIFS(Sessions!$I:$I,Sessions!$D:$D,$A28,Sessions!$B:$B,"Copilot")</f>
        <v>0</v>
      </c>
      <c r="K28" s="14" t="n">
        <f aca="false">IFERROR(F28/E28,"")</f>
        <v>0.733333333333333</v>
      </c>
      <c r="L28" s="15" t="n">
        <f aca="false">IFERROR(J28/E28,"")</f>
        <v>0</v>
      </c>
      <c r="M28" s="14" t="n">
        <f aca="false">IFERROR(E28/$E$106,"")</f>
        <v>0.00652032166920235</v>
      </c>
      <c r="N28" s="14" t="n">
        <f aca="false">IFERROR(F28/$F$106,"")</f>
        <v>0.0993227990970655</v>
      </c>
      <c r="O28" s="2" t="s">
        <v>380</v>
      </c>
      <c r="P28" s="11" t="n">
        <f aca="false">IF(F28=0,"",_xlfn.MINIFS(Sessions!$A:$A,Sessions!$D:$D,$A28))</f>
        <v>46158</v>
      </c>
      <c r="Q28" s="11" t="n">
        <f aca="false">IF(F28=0,"",_xlfn.MAXIFS(Sessions!$A:$A,Sessions!$D:$D,$A28))</f>
        <v>46275</v>
      </c>
      <c r="R28" s="12" t="n">
        <f aca="false">SUMIFS(Sessions!$J:$J,Sessions!$D:$D,$A28)</f>
        <v>27</v>
      </c>
    </row>
    <row r="29" customFormat="false" ht="15" hidden="false" customHeight="false" outlineLevel="0" collapsed="false">
      <c r="A29" s="2" t="s">
        <v>392</v>
      </c>
      <c r="B29" s="2" t="s">
        <v>393</v>
      </c>
      <c r="C29" s="2" t="s">
        <v>109</v>
      </c>
      <c r="D29" s="2"/>
      <c r="E29" s="12" t="n">
        <v>60</v>
      </c>
      <c r="F29" s="12" t="n">
        <f aca="false">SUMIFS(Sessions!$I:$I,Sessions!$D:$D,$A29)</f>
        <v>0</v>
      </c>
      <c r="G29" s="12" t="n">
        <f aca="false">SUMIFS(Sessions!$I:$I,Sessions!$D:$D,$A29,Sessions!$B:$B,"ChatGPT")</f>
        <v>0</v>
      </c>
      <c r="H29" s="12" t="n">
        <f aca="false">SUMIFS(Sessions!$I:$I,Sessions!$D:$D,$A29,Sessions!$B:$B,"Claude")</f>
        <v>0</v>
      </c>
      <c r="I29" s="12" t="n">
        <f aca="false">SUMIFS(Sessions!$I:$I,Sessions!$D:$D,$A29,Sessions!$B:$B,"Gemini")</f>
        <v>0</v>
      </c>
      <c r="J29" s="12" t="n">
        <f aca="false">SUMIFS(Sessions!$I:$I,Sessions!$D:$D,$A29,Sessions!$B:$B,"Copilot")</f>
        <v>0</v>
      </c>
      <c r="K29" s="14" t="n">
        <f aca="false">IFERROR(F29/E29,"")</f>
        <v>0</v>
      </c>
      <c r="L29" s="15" t="n">
        <f aca="false">IFERROR(J29/E29,"")</f>
        <v>0</v>
      </c>
      <c r="M29" s="14" t="n">
        <f aca="false">IFERROR(E29/$E$106,"")</f>
        <v>0.00652032166920235</v>
      </c>
      <c r="N29" s="14" t="n">
        <f aca="false">IFERROR(F29/$F$106,"")</f>
        <v>0</v>
      </c>
      <c r="O29" s="2" t="s">
        <v>383</v>
      </c>
      <c r="P29" s="11" t="str">
        <f aca="false">IF(F29=0,"",_xlfn.MINIFS(Sessions!$A:$A,Sessions!$D:$D,$A29))</f>
        <v/>
      </c>
      <c r="Q29" s="11" t="str">
        <f aca="false">IF(F29=0,"",_xlfn.MAXIFS(Sessions!$A:$A,Sessions!$D:$D,$A29))</f>
        <v/>
      </c>
      <c r="R29" s="12" t="n">
        <f aca="false">SUMIFS(Sessions!$J:$J,Sessions!$D:$D,$A29)</f>
        <v>0</v>
      </c>
    </row>
    <row r="30" customFormat="false" ht="15" hidden="false" customHeight="false" outlineLevel="0" collapsed="false">
      <c r="A30" s="2" t="s">
        <v>394</v>
      </c>
      <c r="B30" s="2" t="s">
        <v>395</v>
      </c>
      <c r="C30" s="2" t="s">
        <v>62</v>
      </c>
      <c r="D30" s="2"/>
      <c r="E30" s="12" t="n">
        <v>54</v>
      </c>
      <c r="F30" s="12" t="n">
        <f aca="false">SUMIFS(Sessions!$I:$I,Sessions!$D:$D,$A30)</f>
        <v>0</v>
      </c>
      <c r="G30" s="12" t="n">
        <f aca="false">SUMIFS(Sessions!$I:$I,Sessions!$D:$D,$A30,Sessions!$B:$B,"ChatGPT")</f>
        <v>0</v>
      </c>
      <c r="H30" s="12" t="n">
        <f aca="false">SUMIFS(Sessions!$I:$I,Sessions!$D:$D,$A30,Sessions!$B:$B,"Claude")</f>
        <v>0</v>
      </c>
      <c r="I30" s="12" t="n">
        <f aca="false">SUMIFS(Sessions!$I:$I,Sessions!$D:$D,$A30,Sessions!$B:$B,"Gemini")</f>
        <v>0</v>
      </c>
      <c r="J30" s="12" t="n">
        <f aca="false">SUMIFS(Sessions!$I:$I,Sessions!$D:$D,$A30,Sessions!$B:$B,"Copilot")</f>
        <v>0</v>
      </c>
      <c r="K30" s="14" t="n">
        <f aca="false">IFERROR(F30/E30,"")</f>
        <v>0</v>
      </c>
      <c r="L30" s="15" t="n">
        <f aca="false">IFERROR(J30/E30,"")</f>
        <v>0</v>
      </c>
      <c r="M30" s="14" t="n">
        <f aca="false">IFERROR(E30/$E$106,"")</f>
        <v>0.00586828950228211</v>
      </c>
      <c r="N30" s="14" t="n">
        <f aca="false">IFERROR(F30/$F$106,"")</f>
        <v>0</v>
      </c>
      <c r="O30" s="2" t="s">
        <v>383</v>
      </c>
      <c r="P30" s="11" t="str">
        <f aca="false">IF(F30=0,"",_xlfn.MINIFS(Sessions!$A:$A,Sessions!$D:$D,$A30))</f>
        <v/>
      </c>
      <c r="Q30" s="11" t="str">
        <f aca="false">IF(F30=0,"",_xlfn.MAXIFS(Sessions!$A:$A,Sessions!$D:$D,$A30))</f>
        <v/>
      </c>
      <c r="R30" s="12" t="n">
        <f aca="false">SUMIFS(Sessions!$J:$J,Sessions!$D:$D,$A30)</f>
        <v>0</v>
      </c>
    </row>
    <row r="31" customFormat="false" ht="15" hidden="false" customHeight="false" outlineLevel="0" collapsed="false">
      <c r="A31" s="2" t="s">
        <v>346</v>
      </c>
      <c r="B31" s="2" t="s">
        <v>347</v>
      </c>
      <c r="C31" s="2" t="s">
        <v>62</v>
      </c>
      <c r="D31" s="2" t="s">
        <v>345</v>
      </c>
      <c r="E31" s="12" t="n">
        <v>53</v>
      </c>
      <c r="F31" s="12" t="n">
        <f aca="false">SUMIFS(Sessions!$I:$I,Sessions!$D:$D,$A31)</f>
        <v>1</v>
      </c>
      <c r="G31" s="12" t="n">
        <f aca="false">SUMIFS(Sessions!$I:$I,Sessions!$D:$D,$A31,Sessions!$B:$B,"ChatGPT")</f>
        <v>1</v>
      </c>
      <c r="H31" s="12" t="n">
        <f aca="false">SUMIFS(Sessions!$I:$I,Sessions!$D:$D,$A31,Sessions!$B:$B,"Claude")</f>
        <v>0</v>
      </c>
      <c r="I31" s="12" t="n">
        <f aca="false">SUMIFS(Sessions!$I:$I,Sessions!$D:$D,$A31,Sessions!$B:$B,"Gemini")</f>
        <v>0</v>
      </c>
      <c r="J31" s="12" t="n">
        <f aca="false">SUMIFS(Sessions!$I:$I,Sessions!$D:$D,$A31,Sessions!$B:$B,"Copilot")</f>
        <v>0</v>
      </c>
      <c r="K31" s="14" t="n">
        <f aca="false">IFERROR(F31/E31,"")</f>
        <v>0.0188679245283019</v>
      </c>
      <c r="L31" s="15" t="n">
        <f aca="false">IFERROR(J31/E31,"")</f>
        <v>0</v>
      </c>
      <c r="M31" s="14" t="n">
        <f aca="false">IFERROR(E31/$E$106,"")</f>
        <v>0.00575961747446207</v>
      </c>
      <c r="N31" s="14" t="n">
        <f aca="false">IFERROR(F31/$F$106,"")</f>
        <v>0.00225733634311512</v>
      </c>
      <c r="O31" s="2" t="s">
        <v>380</v>
      </c>
      <c r="P31" s="11" t="n">
        <f aca="false">IF(F31=0,"",_xlfn.MINIFS(Sessions!$A:$A,Sessions!$D:$D,$A31))</f>
        <v>46266</v>
      </c>
      <c r="Q31" s="11" t="n">
        <f aca="false">IF(F31=0,"",_xlfn.MAXIFS(Sessions!$A:$A,Sessions!$D:$D,$A31))</f>
        <v>46266</v>
      </c>
      <c r="R31" s="12" t="n">
        <f aca="false">SUMIFS(Sessions!$J:$J,Sessions!$D:$D,$A31)</f>
        <v>1</v>
      </c>
    </row>
    <row r="32" customFormat="false" ht="15" hidden="false" customHeight="false" outlineLevel="0" collapsed="false">
      <c r="A32" s="2" t="s">
        <v>240</v>
      </c>
      <c r="B32" s="2" t="s">
        <v>241</v>
      </c>
      <c r="C32" s="2" t="s">
        <v>62</v>
      </c>
      <c r="D32" s="2" t="s">
        <v>239</v>
      </c>
      <c r="E32" s="12" t="n">
        <v>51</v>
      </c>
      <c r="F32" s="12" t="n">
        <f aca="false">SUMIFS(Sessions!$I:$I,Sessions!$D:$D,$A32)</f>
        <v>11</v>
      </c>
      <c r="G32" s="12" t="n">
        <f aca="false">SUMIFS(Sessions!$I:$I,Sessions!$D:$D,$A32,Sessions!$B:$B,"ChatGPT")</f>
        <v>11</v>
      </c>
      <c r="H32" s="12" t="n">
        <f aca="false">SUMIFS(Sessions!$I:$I,Sessions!$D:$D,$A32,Sessions!$B:$B,"Claude")</f>
        <v>0</v>
      </c>
      <c r="I32" s="12" t="n">
        <f aca="false">SUMIFS(Sessions!$I:$I,Sessions!$D:$D,$A32,Sessions!$B:$B,"Gemini")</f>
        <v>0</v>
      </c>
      <c r="J32" s="12" t="n">
        <f aca="false">SUMIFS(Sessions!$I:$I,Sessions!$D:$D,$A32,Sessions!$B:$B,"Copilot")</f>
        <v>0</v>
      </c>
      <c r="K32" s="14" t="n">
        <f aca="false">IFERROR(F32/E32,"")</f>
        <v>0.215686274509804</v>
      </c>
      <c r="L32" s="15" t="n">
        <f aca="false">IFERROR(J32/E32,"")</f>
        <v>0</v>
      </c>
      <c r="M32" s="14" t="n">
        <f aca="false">IFERROR(E32/$E$106,"")</f>
        <v>0.005542273418822</v>
      </c>
      <c r="N32" s="14" t="n">
        <f aca="false">IFERROR(F32/$F$106,"")</f>
        <v>0.0248306997742664</v>
      </c>
      <c r="O32" s="2" t="s">
        <v>380</v>
      </c>
      <c r="P32" s="11" t="n">
        <f aca="false">IF(F32=0,"",_xlfn.MINIFS(Sessions!$A:$A,Sessions!$D:$D,$A32))</f>
        <v>46245</v>
      </c>
      <c r="Q32" s="11" t="n">
        <f aca="false">IF(F32=0,"",_xlfn.MAXIFS(Sessions!$A:$A,Sessions!$D:$D,$A32))</f>
        <v>46265</v>
      </c>
      <c r="R32" s="12" t="n">
        <f aca="false">SUMIFS(Sessions!$J:$J,Sessions!$D:$D,$A32)</f>
        <v>8</v>
      </c>
    </row>
    <row r="33" customFormat="false" ht="15" hidden="false" customHeight="false" outlineLevel="0" collapsed="false">
      <c r="A33" s="2" t="s">
        <v>196</v>
      </c>
      <c r="B33" s="2" t="s">
        <v>197</v>
      </c>
      <c r="C33" s="2" t="s">
        <v>62</v>
      </c>
      <c r="D33" s="2" t="s">
        <v>195</v>
      </c>
      <c r="E33" s="12" t="n">
        <v>49</v>
      </c>
      <c r="F33" s="12" t="n">
        <f aca="false">SUMIFS(Sessions!$I:$I,Sessions!$D:$D,$A33)</f>
        <v>2</v>
      </c>
      <c r="G33" s="12" t="n">
        <f aca="false">SUMIFS(Sessions!$I:$I,Sessions!$D:$D,$A33,Sessions!$B:$B,"ChatGPT")</f>
        <v>2</v>
      </c>
      <c r="H33" s="12" t="n">
        <f aca="false">SUMIFS(Sessions!$I:$I,Sessions!$D:$D,$A33,Sessions!$B:$B,"Claude")</f>
        <v>0</v>
      </c>
      <c r="I33" s="12" t="n">
        <f aca="false">SUMIFS(Sessions!$I:$I,Sessions!$D:$D,$A33,Sessions!$B:$B,"Gemini")</f>
        <v>0</v>
      </c>
      <c r="J33" s="12" t="n">
        <f aca="false">SUMIFS(Sessions!$I:$I,Sessions!$D:$D,$A33,Sessions!$B:$B,"Copilot")</f>
        <v>0</v>
      </c>
      <c r="K33" s="14" t="n">
        <f aca="false">IFERROR(F33/E33,"")</f>
        <v>0.0408163265306122</v>
      </c>
      <c r="L33" s="15" t="n">
        <f aca="false">IFERROR(J33/E33,"")</f>
        <v>0</v>
      </c>
      <c r="M33" s="14" t="n">
        <f aca="false">IFERROR(E33/$E$106,"")</f>
        <v>0.00532492936318192</v>
      </c>
      <c r="N33" s="14" t="n">
        <f aca="false">IFERROR(F33/$F$106,"")</f>
        <v>0.00451467268623025</v>
      </c>
      <c r="O33" s="2" t="s">
        <v>380</v>
      </c>
      <c r="P33" s="11" t="n">
        <f aca="false">IF(F33=0,"",_xlfn.MINIFS(Sessions!$A:$A,Sessions!$D:$D,$A33))</f>
        <v>46229</v>
      </c>
      <c r="Q33" s="11" t="n">
        <f aca="false">IF(F33=0,"",_xlfn.MAXIFS(Sessions!$A:$A,Sessions!$D:$D,$A33))</f>
        <v>46229</v>
      </c>
      <c r="R33" s="12" t="n">
        <f aca="false">SUMIFS(Sessions!$J:$J,Sessions!$D:$D,$A33)</f>
        <v>1</v>
      </c>
    </row>
    <row r="34" customFormat="false" ht="15" hidden="false" customHeight="false" outlineLevel="0" collapsed="false">
      <c r="A34" s="2" t="s">
        <v>305</v>
      </c>
      <c r="B34" s="2" t="s">
        <v>306</v>
      </c>
      <c r="C34" s="2" t="s">
        <v>62</v>
      </c>
      <c r="D34" s="2" t="s">
        <v>304</v>
      </c>
      <c r="E34" s="12" t="n">
        <v>48</v>
      </c>
      <c r="F34" s="12" t="n">
        <f aca="false">SUMIFS(Sessions!$I:$I,Sessions!$D:$D,$A34)</f>
        <v>5</v>
      </c>
      <c r="G34" s="12" t="n">
        <f aca="false">SUMIFS(Sessions!$I:$I,Sessions!$D:$D,$A34,Sessions!$B:$B,"ChatGPT")</f>
        <v>4</v>
      </c>
      <c r="H34" s="12" t="n">
        <f aca="false">SUMIFS(Sessions!$I:$I,Sessions!$D:$D,$A34,Sessions!$B:$B,"Claude")</f>
        <v>1</v>
      </c>
      <c r="I34" s="12" t="n">
        <f aca="false">SUMIFS(Sessions!$I:$I,Sessions!$D:$D,$A34,Sessions!$B:$B,"Gemini")</f>
        <v>0</v>
      </c>
      <c r="J34" s="12" t="n">
        <f aca="false">SUMIFS(Sessions!$I:$I,Sessions!$D:$D,$A34,Sessions!$B:$B,"Copilot")</f>
        <v>0</v>
      </c>
      <c r="K34" s="14" t="n">
        <f aca="false">IFERROR(F34/E34,"")</f>
        <v>0.104166666666667</v>
      </c>
      <c r="L34" s="15" t="n">
        <f aca="false">IFERROR(J34/E34,"")</f>
        <v>0</v>
      </c>
      <c r="M34" s="14" t="n">
        <f aca="false">IFERROR(E34/$E$106,"")</f>
        <v>0.00521625733536188</v>
      </c>
      <c r="N34" s="14" t="n">
        <f aca="false">IFERROR(F34/$F$106,"")</f>
        <v>0.0112866817155756</v>
      </c>
      <c r="O34" s="2" t="s">
        <v>380</v>
      </c>
      <c r="P34" s="11" t="n">
        <f aca="false">IF(F34=0,"",_xlfn.MINIFS(Sessions!$A:$A,Sessions!$D:$D,$A34))</f>
        <v>46256</v>
      </c>
      <c r="Q34" s="11" t="n">
        <f aca="false">IF(F34=0,"",_xlfn.MAXIFS(Sessions!$A:$A,Sessions!$D:$D,$A34))</f>
        <v>46273</v>
      </c>
      <c r="R34" s="12" t="n">
        <f aca="false">SUMIFS(Sessions!$J:$J,Sessions!$D:$D,$A34)</f>
        <v>3</v>
      </c>
    </row>
    <row r="35" customFormat="false" ht="15" hidden="false" customHeight="false" outlineLevel="0" collapsed="false">
      <c r="A35" s="2" t="s">
        <v>83</v>
      </c>
      <c r="B35" s="2" t="s">
        <v>84</v>
      </c>
      <c r="C35" s="2" t="s">
        <v>62</v>
      </c>
      <c r="D35" s="2" t="s">
        <v>82</v>
      </c>
      <c r="E35" s="12" t="n">
        <v>43</v>
      </c>
      <c r="F35" s="12" t="n">
        <f aca="false">SUMIFS(Sessions!$I:$I,Sessions!$D:$D,$A35)</f>
        <v>3</v>
      </c>
      <c r="G35" s="12" t="n">
        <f aca="false">SUMIFS(Sessions!$I:$I,Sessions!$D:$D,$A35,Sessions!$B:$B,"ChatGPT")</f>
        <v>3</v>
      </c>
      <c r="H35" s="12" t="n">
        <f aca="false">SUMIFS(Sessions!$I:$I,Sessions!$D:$D,$A35,Sessions!$B:$B,"Claude")</f>
        <v>0</v>
      </c>
      <c r="I35" s="12" t="n">
        <f aca="false">SUMIFS(Sessions!$I:$I,Sessions!$D:$D,$A35,Sessions!$B:$B,"Gemini")</f>
        <v>0</v>
      </c>
      <c r="J35" s="12" t="n">
        <f aca="false">SUMIFS(Sessions!$I:$I,Sessions!$D:$D,$A35,Sessions!$B:$B,"Copilot")</f>
        <v>0</v>
      </c>
      <c r="K35" s="14" t="n">
        <f aca="false">IFERROR(F35/E35,"")</f>
        <v>0.0697674418604651</v>
      </c>
      <c r="L35" s="15" t="n">
        <f aca="false">IFERROR(J35/E35,"")</f>
        <v>0</v>
      </c>
      <c r="M35" s="14" t="n">
        <f aca="false">IFERROR(E35/$E$106,"")</f>
        <v>0.00467289719626168</v>
      </c>
      <c r="N35" s="14" t="n">
        <f aca="false">IFERROR(F35/$F$106,"")</f>
        <v>0.00677200902934537</v>
      </c>
      <c r="O35" s="2" t="s">
        <v>380</v>
      </c>
      <c r="P35" s="11" t="n">
        <f aca="false">IF(F35=0,"",_xlfn.MINIFS(Sessions!$A:$A,Sessions!$D:$D,$A35))</f>
        <v>46163</v>
      </c>
      <c r="Q35" s="11" t="n">
        <f aca="false">IF(F35=0,"",_xlfn.MAXIFS(Sessions!$A:$A,Sessions!$D:$D,$A35))</f>
        <v>46206</v>
      </c>
      <c r="R35" s="12" t="n">
        <f aca="false">SUMIFS(Sessions!$J:$J,Sessions!$D:$D,$A35)</f>
        <v>3</v>
      </c>
    </row>
    <row r="36" customFormat="false" ht="15" hidden="false" customHeight="false" outlineLevel="0" collapsed="false">
      <c r="A36" s="2" t="s">
        <v>396</v>
      </c>
      <c r="B36" s="2" t="s">
        <v>397</v>
      </c>
      <c r="C36" s="2" t="s">
        <v>62</v>
      </c>
      <c r="D36" s="2"/>
      <c r="E36" s="12" t="n">
        <v>42</v>
      </c>
      <c r="F36" s="12" t="n">
        <f aca="false">SUMIFS(Sessions!$I:$I,Sessions!$D:$D,$A36)</f>
        <v>0</v>
      </c>
      <c r="G36" s="12" t="n">
        <f aca="false">SUMIFS(Sessions!$I:$I,Sessions!$D:$D,$A36,Sessions!$B:$B,"ChatGPT")</f>
        <v>0</v>
      </c>
      <c r="H36" s="12" t="n">
        <f aca="false">SUMIFS(Sessions!$I:$I,Sessions!$D:$D,$A36,Sessions!$B:$B,"Claude")</f>
        <v>0</v>
      </c>
      <c r="I36" s="12" t="n">
        <f aca="false">SUMIFS(Sessions!$I:$I,Sessions!$D:$D,$A36,Sessions!$B:$B,"Gemini")</f>
        <v>0</v>
      </c>
      <c r="J36" s="12" t="n">
        <f aca="false">SUMIFS(Sessions!$I:$I,Sessions!$D:$D,$A36,Sessions!$B:$B,"Copilot")</f>
        <v>0</v>
      </c>
      <c r="K36" s="14" t="n">
        <f aca="false">IFERROR(F36/E36,"")</f>
        <v>0</v>
      </c>
      <c r="L36" s="15" t="n">
        <f aca="false">IFERROR(J36/E36,"")</f>
        <v>0</v>
      </c>
      <c r="M36" s="14" t="n">
        <f aca="false">IFERROR(E36/$E$106,"")</f>
        <v>0.00456422516844164</v>
      </c>
      <c r="N36" s="14" t="n">
        <f aca="false">IFERROR(F36/$F$106,"")</f>
        <v>0</v>
      </c>
      <c r="O36" s="2" t="s">
        <v>383</v>
      </c>
      <c r="P36" s="11" t="str">
        <f aca="false">IF(F36=0,"",_xlfn.MINIFS(Sessions!$A:$A,Sessions!$D:$D,$A36))</f>
        <v/>
      </c>
      <c r="Q36" s="11" t="str">
        <f aca="false">IF(F36=0,"",_xlfn.MAXIFS(Sessions!$A:$A,Sessions!$D:$D,$A36))</f>
        <v/>
      </c>
      <c r="R36" s="12" t="n">
        <f aca="false">SUMIFS(Sessions!$J:$J,Sessions!$D:$D,$A36)</f>
        <v>0</v>
      </c>
    </row>
    <row r="37" customFormat="false" ht="15" hidden="false" customHeight="false" outlineLevel="0" collapsed="false">
      <c r="A37" s="2" t="s">
        <v>253</v>
      </c>
      <c r="B37" s="2" t="s">
        <v>254</v>
      </c>
      <c r="C37" s="2" t="s">
        <v>62</v>
      </c>
      <c r="D37" s="2" t="s">
        <v>252</v>
      </c>
      <c r="E37" s="12" t="n">
        <v>41</v>
      </c>
      <c r="F37" s="12" t="n">
        <f aca="false">SUMIFS(Sessions!$I:$I,Sessions!$D:$D,$A37)</f>
        <v>2</v>
      </c>
      <c r="G37" s="12" t="n">
        <f aca="false">SUMIFS(Sessions!$I:$I,Sessions!$D:$D,$A37,Sessions!$B:$B,"ChatGPT")</f>
        <v>2</v>
      </c>
      <c r="H37" s="12" t="n">
        <f aca="false">SUMIFS(Sessions!$I:$I,Sessions!$D:$D,$A37,Sessions!$B:$B,"Claude")</f>
        <v>0</v>
      </c>
      <c r="I37" s="12" t="n">
        <f aca="false">SUMIFS(Sessions!$I:$I,Sessions!$D:$D,$A37,Sessions!$B:$B,"Gemini")</f>
        <v>0</v>
      </c>
      <c r="J37" s="12" t="n">
        <f aca="false">SUMIFS(Sessions!$I:$I,Sessions!$D:$D,$A37,Sessions!$B:$B,"Copilot")</f>
        <v>0</v>
      </c>
      <c r="K37" s="14" t="n">
        <f aca="false">IFERROR(F37/E37,"")</f>
        <v>0.0487804878048781</v>
      </c>
      <c r="L37" s="15" t="n">
        <f aca="false">IFERROR(J37/E37,"")</f>
        <v>0</v>
      </c>
      <c r="M37" s="14" t="n">
        <f aca="false">IFERROR(E37/$E$106,"")</f>
        <v>0.0044555531406216</v>
      </c>
      <c r="N37" s="14" t="n">
        <f aca="false">IFERROR(F37/$F$106,"")</f>
        <v>0.00451467268623025</v>
      </c>
      <c r="O37" s="2" t="s">
        <v>380</v>
      </c>
      <c r="P37" s="11" t="n">
        <f aca="false">IF(F37=0,"",_xlfn.MINIFS(Sessions!$A:$A,Sessions!$D:$D,$A37))</f>
        <v>46246</v>
      </c>
      <c r="Q37" s="11" t="n">
        <f aca="false">IF(F37=0,"",_xlfn.MAXIFS(Sessions!$A:$A,Sessions!$D:$D,$A37))</f>
        <v>46247</v>
      </c>
      <c r="R37" s="12" t="n">
        <f aca="false">SUMIFS(Sessions!$J:$J,Sessions!$D:$D,$A37)</f>
        <v>2</v>
      </c>
    </row>
    <row r="38" customFormat="false" ht="15" hidden="false" customHeight="false" outlineLevel="0" collapsed="false">
      <c r="A38" s="2" t="s">
        <v>398</v>
      </c>
      <c r="B38" s="2" t="s">
        <v>399</v>
      </c>
      <c r="C38" s="2" t="s">
        <v>62</v>
      </c>
      <c r="D38" s="2"/>
      <c r="E38" s="12" t="n">
        <v>41</v>
      </c>
      <c r="F38" s="12" t="n">
        <f aca="false">SUMIFS(Sessions!$I:$I,Sessions!$D:$D,$A38)</f>
        <v>0</v>
      </c>
      <c r="G38" s="12" t="n">
        <f aca="false">SUMIFS(Sessions!$I:$I,Sessions!$D:$D,$A38,Sessions!$B:$B,"ChatGPT")</f>
        <v>0</v>
      </c>
      <c r="H38" s="12" t="n">
        <f aca="false">SUMIFS(Sessions!$I:$I,Sessions!$D:$D,$A38,Sessions!$B:$B,"Claude")</f>
        <v>0</v>
      </c>
      <c r="I38" s="12" t="n">
        <f aca="false">SUMIFS(Sessions!$I:$I,Sessions!$D:$D,$A38,Sessions!$B:$B,"Gemini")</f>
        <v>0</v>
      </c>
      <c r="J38" s="12" t="n">
        <f aca="false">SUMIFS(Sessions!$I:$I,Sessions!$D:$D,$A38,Sessions!$B:$B,"Copilot")</f>
        <v>0</v>
      </c>
      <c r="K38" s="14" t="n">
        <f aca="false">IFERROR(F38/E38,"")</f>
        <v>0</v>
      </c>
      <c r="L38" s="15" t="n">
        <f aca="false">IFERROR(J38/E38,"")</f>
        <v>0</v>
      </c>
      <c r="M38" s="14" t="n">
        <f aca="false">IFERROR(E38/$E$106,"")</f>
        <v>0.0044555531406216</v>
      </c>
      <c r="N38" s="14" t="n">
        <f aca="false">IFERROR(F38/$F$106,"")</f>
        <v>0</v>
      </c>
      <c r="O38" s="2" t="s">
        <v>383</v>
      </c>
      <c r="P38" s="11" t="str">
        <f aca="false">IF(F38=0,"",_xlfn.MINIFS(Sessions!$A:$A,Sessions!$D:$D,$A38))</f>
        <v/>
      </c>
      <c r="Q38" s="11" t="str">
        <f aca="false">IF(F38=0,"",_xlfn.MAXIFS(Sessions!$A:$A,Sessions!$D:$D,$A38))</f>
        <v/>
      </c>
      <c r="R38" s="12" t="n">
        <f aca="false">SUMIFS(Sessions!$J:$J,Sessions!$D:$D,$A38)</f>
        <v>0</v>
      </c>
    </row>
    <row r="39" customFormat="false" ht="15" hidden="false" customHeight="false" outlineLevel="0" collapsed="false">
      <c r="A39" s="2" t="s">
        <v>92</v>
      </c>
      <c r="B39" s="2" t="s">
        <v>93</v>
      </c>
      <c r="C39" s="2" t="s">
        <v>94</v>
      </c>
      <c r="D39" s="2" t="s">
        <v>91</v>
      </c>
      <c r="E39" s="12" t="n">
        <v>40</v>
      </c>
      <c r="F39" s="12" t="n">
        <f aca="false">SUMIFS(Sessions!$I:$I,Sessions!$D:$D,$A39)</f>
        <v>14</v>
      </c>
      <c r="G39" s="12" t="n">
        <f aca="false">SUMIFS(Sessions!$I:$I,Sessions!$D:$D,$A39,Sessions!$B:$B,"ChatGPT")</f>
        <v>13</v>
      </c>
      <c r="H39" s="12" t="n">
        <f aca="false">SUMIFS(Sessions!$I:$I,Sessions!$D:$D,$A39,Sessions!$B:$B,"Claude")</f>
        <v>0</v>
      </c>
      <c r="I39" s="12" t="n">
        <f aca="false">SUMIFS(Sessions!$I:$I,Sessions!$D:$D,$A39,Sessions!$B:$B,"Gemini")</f>
        <v>1</v>
      </c>
      <c r="J39" s="12" t="n">
        <f aca="false">SUMIFS(Sessions!$I:$I,Sessions!$D:$D,$A39,Sessions!$B:$B,"Copilot")</f>
        <v>0</v>
      </c>
      <c r="K39" s="14" t="n">
        <f aca="false">IFERROR(F39/E39,"")</f>
        <v>0.35</v>
      </c>
      <c r="L39" s="15" t="n">
        <f aca="false">IFERROR(J39/E39,"")</f>
        <v>0</v>
      </c>
      <c r="M39" s="14" t="n">
        <f aca="false">IFERROR(E39/$E$106,"")</f>
        <v>0.00434688111280156</v>
      </c>
      <c r="N39" s="14" t="n">
        <f aca="false">IFERROR(F39/$F$106,"")</f>
        <v>0.0316027088036117</v>
      </c>
      <c r="O39" s="2" t="s">
        <v>380</v>
      </c>
      <c r="P39" s="11" t="n">
        <f aca="false">IF(F39=0,"",_xlfn.MINIFS(Sessions!$A:$A,Sessions!$D:$D,$A39))</f>
        <v>46164</v>
      </c>
      <c r="Q39" s="11" t="n">
        <f aca="false">IF(F39=0,"",_xlfn.MAXIFS(Sessions!$A:$A,Sessions!$D:$D,$A39))</f>
        <v>46275</v>
      </c>
      <c r="R39" s="12" t="n">
        <f aca="false">SUMIFS(Sessions!$J:$J,Sessions!$D:$D,$A39)</f>
        <v>14</v>
      </c>
    </row>
    <row r="40" customFormat="false" ht="15" hidden="false" customHeight="false" outlineLevel="0" collapsed="false">
      <c r="A40" s="2" t="s">
        <v>222</v>
      </c>
      <c r="B40" s="2" t="s">
        <v>223</v>
      </c>
      <c r="C40" s="2" t="s">
        <v>62</v>
      </c>
      <c r="D40" s="2" t="s">
        <v>221</v>
      </c>
      <c r="E40" s="12" t="n">
        <v>38</v>
      </c>
      <c r="F40" s="12" t="n">
        <f aca="false">SUMIFS(Sessions!$I:$I,Sessions!$D:$D,$A40)</f>
        <v>5</v>
      </c>
      <c r="G40" s="12" t="n">
        <f aca="false">SUMIFS(Sessions!$I:$I,Sessions!$D:$D,$A40,Sessions!$B:$B,"ChatGPT")</f>
        <v>5</v>
      </c>
      <c r="H40" s="12" t="n">
        <f aca="false">SUMIFS(Sessions!$I:$I,Sessions!$D:$D,$A40,Sessions!$B:$B,"Claude")</f>
        <v>0</v>
      </c>
      <c r="I40" s="12" t="n">
        <f aca="false">SUMIFS(Sessions!$I:$I,Sessions!$D:$D,$A40,Sessions!$B:$B,"Gemini")</f>
        <v>0</v>
      </c>
      <c r="J40" s="12" t="n">
        <f aca="false">SUMIFS(Sessions!$I:$I,Sessions!$D:$D,$A40,Sessions!$B:$B,"Copilot")</f>
        <v>0</v>
      </c>
      <c r="K40" s="14" t="n">
        <f aca="false">IFERROR(F40/E40,"")</f>
        <v>0.131578947368421</v>
      </c>
      <c r="L40" s="15" t="n">
        <f aca="false">IFERROR(J40/E40,"")</f>
        <v>0</v>
      </c>
      <c r="M40" s="14" t="n">
        <f aca="false">IFERROR(E40/$E$106,"")</f>
        <v>0.00412953705716149</v>
      </c>
      <c r="N40" s="14" t="n">
        <f aca="false">IFERROR(F40/$F$106,"")</f>
        <v>0.0112866817155756</v>
      </c>
      <c r="O40" s="2" t="s">
        <v>380</v>
      </c>
      <c r="P40" s="11" t="n">
        <f aca="false">IF(F40=0,"",_xlfn.MINIFS(Sessions!$A:$A,Sessions!$D:$D,$A40))</f>
        <v>46243</v>
      </c>
      <c r="Q40" s="11" t="n">
        <f aca="false">IF(F40=0,"",_xlfn.MAXIFS(Sessions!$A:$A,Sessions!$D:$D,$A40))</f>
        <v>46269</v>
      </c>
      <c r="R40" s="12" t="n">
        <f aca="false">SUMIFS(Sessions!$J:$J,Sessions!$D:$D,$A40)</f>
        <v>4</v>
      </c>
    </row>
    <row r="41" customFormat="false" ht="15" hidden="false" customHeight="false" outlineLevel="0" collapsed="false">
      <c r="A41" s="2" t="s">
        <v>342</v>
      </c>
      <c r="B41" s="2" t="s">
        <v>343</v>
      </c>
      <c r="C41" s="2" t="s">
        <v>62</v>
      </c>
      <c r="D41" s="2" t="s">
        <v>163</v>
      </c>
      <c r="E41" s="12" t="n">
        <v>36</v>
      </c>
      <c r="F41" s="12" t="n">
        <f aca="false">SUMIFS(Sessions!$I:$I,Sessions!$D:$D,$A41)</f>
        <v>2</v>
      </c>
      <c r="G41" s="12" t="n">
        <f aca="false">SUMIFS(Sessions!$I:$I,Sessions!$D:$D,$A41,Sessions!$B:$B,"ChatGPT")</f>
        <v>2</v>
      </c>
      <c r="H41" s="12" t="n">
        <f aca="false">SUMIFS(Sessions!$I:$I,Sessions!$D:$D,$A41,Sessions!$B:$B,"Claude")</f>
        <v>0</v>
      </c>
      <c r="I41" s="12" t="n">
        <f aca="false">SUMIFS(Sessions!$I:$I,Sessions!$D:$D,$A41,Sessions!$B:$B,"Gemini")</f>
        <v>0</v>
      </c>
      <c r="J41" s="12" t="n">
        <f aca="false">SUMIFS(Sessions!$I:$I,Sessions!$D:$D,$A41,Sessions!$B:$B,"Copilot")</f>
        <v>0</v>
      </c>
      <c r="K41" s="14" t="n">
        <f aca="false">IFERROR(F41/E41,"")</f>
        <v>0.0555555555555556</v>
      </c>
      <c r="L41" s="15" t="n">
        <f aca="false">IFERROR(J41/E41,"")</f>
        <v>0</v>
      </c>
      <c r="M41" s="14" t="n">
        <f aca="false">IFERROR(E41/$E$106,"")</f>
        <v>0.00391219300152141</v>
      </c>
      <c r="N41" s="14" t="n">
        <f aca="false">IFERROR(F41/$F$106,"")</f>
        <v>0.00451467268623025</v>
      </c>
      <c r="O41" s="2" t="s">
        <v>380</v>
      </c>
      <c r="P41" s="11" t="n">
        <f aca="false">IF(F41=0,"",_xlfn.MINIFS(Sessions!$A:$A,Sessions!$D:$D,$A41))</f>
        <v>46265</v>
      </c>
      <c r="Q41" s="11" t="n">
        <f aca="false">IF(F41=0,"",_xlfn.MAXIFS(Sessions!$A:$A,Sessions!$D:$D,$A41))</f>
        <v>46268</v>
      </c>
      <c r="R41" s="12" t="n">
        <f aca="false">SUMIFS(Sessions!$J:$J,Sessions!$D:$D,$A41)</f>
        <v>2</v>
      </c>
    </row>
    <row r="42" customFormat="false" ht="15" hidden="false" customHeight="false" outlineLevel="0" collapsed="false">
      <c r="A42" s="2" t="s">
        <v>400</v>
      </c>
      <c r="B42" s="2" t="s">
        <v>401</v>
      </c>
      <c r="C42" s="2" t="s">
        <v>109</v>
      </c>
      <c r="D42" s="2"/>
      <c r="E42" s="12" t="n">
        <v>36</v>
      </c>
      <c r="F42" s="12" t="n">
        <f aca="false">SUMIFS(Sessions!$I:$I,Sessions!$D:$D,$A42)</f>
        <v>0</v>
      </c>
      <c r="G42" s="12" t="n">
        <f aca="false">SUMIFS(Sessions!$I:$I,Sessions!$D:$D,$A42,Sessions!$B:$B,"ChatGPT")</f>
        <v>0</v>
      </c>
      <c r="H42" s="12" t="n">
        <f aca="false">SUMIFS(Sessions!$I:$I,Sessions!$D:$D,$A42,Sessions!$B:$B,"Claude")</f>
        <v>0</v>
      </c>
      <c r="I42" s="12" t="n">
        <f aca="false">SUMIFS(Sessions!$I:$I,Sessions!$D:$D,$A42,Sessions!$B:$B,"Gemini")</f>
        <v>0</v>
      </c>
      <c r="J42" s="12" t="n">
        <f aca="false">SUMIFS(Sessions!$I:$I,Sessions!$D:$D,$A42,Sessions!$B:$B,"Copilot")</f>
        <v>0</v>
      </c>
      <c r="K42" s="14" t="n">
        <f aca="false">IFERROR(F42/E42,"")</f>
        <v>0</v>
      </c>
      <c r="L42" s="15" t="n">
        <f aca="false">IFERROR(J42/E42,"")</f>
        <v>0</v>
      </c>
      <c r="M42" s="14" t="n">
        <f aca="false">IFERROR(E42/$E$106,"")</f>
        <v>0.00391219300152141</v>
      </c>
      <c r="N42" s="14" t="n">
        <f aca="false">IFERROR(F42/$F$106,"")</f>
        <v>0</v>
      </c>
      <c r="O42" s="2" t="s">
        <v>383</v>
      </c>
      <c r="P42" s="11" t="str">
        <f aca="false">IF(F42=0,"",_xlfn.MINIFS(Sessions!$A:$A,Sessions!$D:$D,$A42))</f>
        <v/>
      </c>
      <c r="Q42" s="11" t="str">
        <f aca="false">IF(F42=0,"",_xlfn.MAXIFS(Sessions!$A:$A,Sessions!$D:$D,$A42))</f>
        <v/>
      </c>
      <c r="R42" s="12" t="n">
        <f aca="false">SUMIFS(Sessions!$J:$J,Sessions!$D:$D,$A42)</f>
        <v>0</v>
      </c>
    </row>
    <row r="43" customFormat="false" ht="15" hidden="false" customHeight="false" outlineLevel="0" collapsed="false">
      <c r="A43" s="2" t="s">
        <v>192</v>
      </c>
      <c r="B43" s="2" t="s">
        <v>193</v>
      </c>
      <c r="C43" s="2" t="s">
        <v>62</v>
      </c>
      <c r="D43" s="2" t="s">
        <v>95</v>
      </c>
      <c r="E43" s="12" t="n">
        <v>35</v>
      </c>
      <c r="F43" s="12" t="n">
        <f aca="false">SUMIFS(Sessions!$I:$I,Sessions!$D:$D,$A43)</f>
        <v>5</v>
      </c>
      <c r="G43" s="12" t="n">
        <f aca="false">SUMIFS(Sessions!$I:$I,Sessions!$D:$D,$A43,Sessions!$B:$B,"ChatGPT")</f>
        <v>4</v>
      </c>
      <c r="H43" s="12" t="n">
        <f aca="false">SUMIFS(Sessions!$I:$I,Sessions!$D:$D,$A43,Sessions!$B:$B,"Claude")</f>
        <v>0</v>
      </c>
      <c r="I43" s="12" t="n">
        <f aca="false">SUMIFS(Sessions!$I:$I,Sessions!$D:$D,$A43,Sessions!$B:$B,"Gemini")</f>
        <v>1</v>
      </c>
      <c r="J43" s="12" t="n">
        <f aca="false">SUMIFS(Sessions!$I:$I,Sessions!$D:$D,$A43,Sessions!$B:$B,"Copilot")</f>
        <v>0</v>
      </c>
      <c r="K43" s="14" t="n">
        <f aca="false">IFERROR(F43/E43,"")</f>
        <v>0.142857142857143</v>
      </c>
      <c r="L43" s="15" t="n">
        <f aca="false">IFERROR(J43/E43,"")</f>
        <v>0</v>
      </c>
      <c r="M43" s="14" t="n">
        <f aca="false">IFERROR(E43/$E$106,"")</f>
        <v>0.00380352097370137</v>
      </c>
      <c r="N43" s="14" t="n">
        <f aca="false">IFERROR(F43/$F$106,"")</f>
        <v>0.0112866817155756</v>
      </c>
      <c r="O43" s="2" t="s">
        <v>380</v>
      </c>
      <c r="P43" s="11" t="n">
        <f aca="false">IF(F43=0,"",_xlfn.MINIFS(Sessions!$A:$A,Sessions!$D:$D,$A43))</f>
        <v>46227</v>
      </c>
      <c r="Q43" s="11" t="n">
        <f aca="false">IF(F43=0,"",_xlfn.MAXIFS(Sessions!$A:$A,Sessions!$D:$D,$A43))</f>
        <v>46268</v>
      </c>
      <c r="R43" s="12" t="n">
        <f aca="false">SUMIFS(Sessions!$J:$J,Sessions!$D:$D,$A43)</f>
        <v>4</v>
      </c>
    </row>
    <row r="44" customFormat="false" ht="15" hidden="false" customHeight="false" outlineLevel="0" collapsed="false">
      <c r="A44" s="2" t="s">
        <v>88</v>
      </c>
      <c r="B44" s="2" t="s">
        <v>89</v>
      </c>
      <c r="C44" s="2" t="s">
        <v>62</v>
      </c>
      <c r="D44" s="2" t="s">
        <v>87</v>
      </c>
      <c r="E44" s="12" t="n">
        <v>34</v>
      </c>
      <c r="F44" s="12" t="n">
        <f aca="false">SUMIFS(Sessions!$I:$I,Sessions!$D:$D,$A44)</f>
        <v>2</v>
      </c>
      <c r="G44" s="12" t="n">
        <f aca="false">SUMIFS(Sessions!$I:$I,Sessions!$D:$D,$A44,Sessions!$B:$B,"ChatGPT")</f>
        <v>0</v>
      </c>
      <c r="H44" s="12" t="n">
        <f aca="false">SUMIFS(Sessions!$I:$I,Sessions!$D:$D,$A44,Sessions!$B:$B,"Claude")</f>
        <v>0</v>
      </c>
      <c r="I44" s="12" t="n">
        <f aca="false">SUMIFS(Sessions!$I:$I,Sessions!$D:$D,$A44,Sessions!$B:$B,"Gemini")</f>
        <v>0</v>
      </c>
      <c r="J44" s="12" t="n">
        <f aca="false">SUMIFS(Sessions!$I:$I,Sessions!$D:$D,$A44,Sessions!$B:$B,"Copilot")</f>
        <v>2</v>
      </c>
      <c r="K44" s="14" t="n">
        <f aca="false">IFERROR(F44/E44,"")</f>
        <v>0.0588235294117647</v>
      </c>
      <c r="L44" s="15" t="n">
        <f aca="false">IFERROR(J44/E44,"")</f>
        <v>0.0588235294117647</v>
      </c>
      <c r="M44" s="14" t="n">
        <f aca="false">IFERROR(E44/$E$106,"")</f>
        <v>0.00369484894588133</v>
      </c>
      <c r="N44" s="14" t="n">
        <f aca="false">IFERROR(F44/$F$106,"")</f>
        <v>0.00451467268623025</v>
      </c>
      <c r="O44" s="2" t="s">
        <v>380</v>
      </c>
      <c r="P44" s="11" t="n">
        <f aca="false">IF(F44=0,"",_xlfn.MINIFS(Sessions!$A:$A,Sessions!$D:$D,$A44))</f>
        <v>46164</v>
      </c>
      <c r="Q44" s="11" t="n">
        <f aca="false">IF(F44=0,"",_xlfn.MAXIFS(Sessions!$A:$A,Sessions!$D:$D,$A44))</f>
        <v>46174</v>
      </c>
      <c r="R44" s="12" t="n">
        <f aca="false">SUMIFS(Sessions!$J:$J,Sessions!$D:$D,$A44)</f>
        <v>2</v>
      </c>
    </row>
    <row r="45" customFormat="false" ht="15" hidden="false" customHeight="false" outlineLevel="0" collapsed="false">
      <c r="A45" s="2" t="s">
        <v>402</v>
      </c>
      <c r="B45" s="2" t="s">
        <v>403</v>
      </c>
      <c r="C45" s="2" t="s">
        <v>62</v>
      </c>
      <c r="D45" s="2"/>
      <c r="E45" s="12" t="n">
        <v>32</v>
      </c>
      <c r="F45" s="12" t="n">
        <f aca="false">SUMIFS(Sessions!$I:$I,Sessions!$D:$D,$A45)</f>
        <v>0</v>
      </c>
      <c r="G45" s="12" t="n">
        <f aca="false">SUMIFS(Sessions!$I:$I,Sessions!$D:$D,$A45,Sessions!$B:$B,"ChatGPT")</f>
        <v>0</v>
      </c>
      <c r="H45" s="12" t="n">
        <f aca="false">SUMIFS(Sessions!$I:$I,Sessions!$D:$D,$A45,Sessions!$B:$B,"Claude")</f>
        <v>0</v>
      </c>
      <c r="I45" s="12" t="n">
        <f aca="false">SUMIFS(Sessions!$I:$I,Sessions!$D:$D,$A45,Sessions!$B:$B,"Gemini")</f>
        <v>0</v>
      </c>
      <c r="J45" s="12" t="n">
        <f aca="false">SUMIFS(Sessions!$I:$I,Sessions!$D:$D,$A45,Sessions!$B:$B,"Copilot")</f>
        <v>0</v>
      </c>
      <c r="K45" s="14" t="n">
        <f aca="false">IFERROR(F45/E45,"")</f>
        <v>0</v>
      </c>
      <c r="L45" s="15" t="n">
        <f aca="false">IFERROR(J45/E45,"")</f>
        <v>0</v>
      </c>
      <c r="M45" s="14" t="n">
        <f aca="false">IFERROR(E45/$E$106,"")</f>
        <v>0.00347750489024125</v>
      </c>
      <c r="N45" s="14" t="n">
        <f aca="false">IFERROR(F45/$F$106,"")</f>
        <v>0</v>
      </c>
      <c r="O45" s="2" t="s">
        <v>383</v>
      </c>
      <c r="P45" s="11" t="str">
        <f aca="false">IF(F45=0,"",_xlfn.MINIFS(Sessions!$A:$A,Sessions!$D:$D,$A45))</f>
        <v/>
      </c>
      <c r="Q45" s="11" t="str">
        <f aca="false">IF(F45=0,"",_xlfn.MAXIFS(Sessions!$A:$A,Sessions!$D:$D,$A45))</f>
        <v/>
      </c>
      <c r="R45" s="12" t="n">
        <f aca="false">SUMIFS(Sessions!$J:$J,Sessions!$D:$D,$A45)</f>
        <v>0</v>
      </c>
    </row>
    <row r="46" customFormat="false" ht="15" hidden="false" customHeight="false" outlineLevel="0" collapsed="false">
      <c r="A46" s="2" t="s">
        <v>297</v>
      </c>
      <c r="B46" s="2" t="s">
        <v>298</v>
      </c>
      <c r="C46" s="2" t="s">
        <v>109</v>
      </c>
      <c r="D46" s="2" t="s">
        <v>296</v>
      </c>
      <c r="E46" s="12" t="n">
        <v>27</v>
      </c>
      <c r="F46" s="12" t="n">
        <f aca="false">SUMIFS(Sessions!$I:$I,Sessions!$D:$D,$A46)</f>
        <v>3</v>
      </c>
      <c r="G46" s="12" t="n">
        <f aca="false">SUMIFS(Sessions!$I:$I,Sessions!$D:$D,$A46,Sessions!$B:$B,"ChatGPT")</f>
        <v>3</v>
      </c>
      <c r="H46" s="12" t="n">
        <f aca="false">SUMIFS(Sessions!$I:$I,Sessions!$D:$D,$A46,Sessions!$B:$B,"Claude")</f>
        <v>0</v>
      </c>
      <c r="I46" s="12" t="n">
        <f aca="false">SUMIFS(Sessions!$I:$I,Sessions!$D:$D,$A46,Sessions!$B:$B,"Gemini")</f>
        <v>0</v>
      </c>
      <c r="J46" s="12" t="n">
        <f aca="false">SUMIFS(Sessions!$I:$I,Sessions!$D:$D,$A46,Sessions!$B:$B,"Copilot")</f>
        <v>0</v>
      </c>
      <c r="K46" s="14" t="n">
        <f aca="false">IFERROR(F46/E46,"")</f>
        <v>0.111111111111111</v>
      </c>
      <c r="L46" s="15" t="n">
        <f aca="false">IFERROR(J46/E46,"")</f>
        <v>0</v>
      </c>
      <c r="M46" s="14" t="n">
        <f aca="false">IFERROR(E46/$E$106,"")</f>
        <v>0.00293414475114106</v>
      </c>
      <c r="N46" s="14" t="n">
        <f aca="false">IFERROR(F46/$F$106,"")</f>
        <v>0.00677200902934537</v>
      </c>
      <c r="O46" s="2" t="s">
        <v>380</v>
      </c>
      <c r="P46" s="11" t="n">
        <f aca="false">IF(F46=0,"",_xlfn.MINIFS(Sessions!$A:$A,Sessions!$D:$D,$A46))</f>
        <v>46255</v>
      </c>
      <c r="Q46" s="11" t="n">
        <f aca="false">IF(F46=0,"",_xlfn.MAXIFS(Sessions!$A:$A,Sessions!$D:$D,$A46))</f>
        <v>46260</v>
      </c>
      <c r="R46" s="12" t="n">
        <f aca="false">SUMIFS(Sessions!$J:$J,Sessions!$D:$D,$A46)</f>
        <v>2</v>
      </c>
    </row>
    <row r="47" customFormat="false" ht="15" hidden="false" customHeight="false" outlineLevel="0" collapsed="false">
      <c r="A47" s="2" t="s">
        <v>153</v>
      </c>
      <c r="B47" s="2" t="s">
        <v>154</v>
      </c>
      <c r="C47" s="2" t="s">
        <v>62</v>
      </c>
      <c r="D47" s="2" t="s">
        <v>152</v>
      </c>
      <c r="E47" s="12" t="n">
        <v>25</v>
      </c>
      <c r="F47" s="12" t="n">
        <f aca="false">SUMIFS(Sessions!$I:$I,Sessions!$D:$D,$A47)</f>
        <v>3</v>
      </c>
      <c r="G47" s="12" t="n">
        <f aca="false">SUMIFS(Sessions!$I:$I,Sessions!$D:$D,$A47,Sessions!$B:$B,"ChatGPT")</f>
        <v>2</v>
      </c>
      <c r="H47" s="12" t="n">
        <f aca="false">SUMIFS(Sessions!$I:$I,Sessions!$D:$D,$A47,Sessions!$B:$B,"Claude")</f>
        <v>1</v>
      </c>
      <c r="I47" s="12" t="n">
        <f aca="false">SUMIFS(Sessions!$I:$I,Sessions!$D:$D,$A47,Sessions!$B:$B,"Gemini")</f>
        <v>0</v>
      </c>
      <c r="J47" s="12" t="n">
        <f aca="false">SUMIFS(Sessions!$I:$I,Sessions!$D:$D,$A47,Sessions!$B:$B,"Copilot")</f>
        <v>0</v>
      </c>
      <c r="K47" s="14" t="n">
        <f aca="false">IFERROR(F47/E47,"")</f>
        <v>0.12</v>
      </c>
      <c r="L47" s="15" t="n">
        <f aca="false">IFERROR(J47/E47,"")</f>
        <v>0</v>
      </c>
      <c r="M47" s="14" t="n">
        <f aca="false">IFERROR(E47/$E$106,"")</f>
        <v>0.00271680069550098</v>
      </c>
      <c r="N47" s="14" t="n">
        <f aca="false">IFERROR(F47/$F$106,"")</f>
        <v>0.00677200902934537</v>
      </c>
      <c r="O47" s="2" t="s">
        <v>380</v>
      </c>
      <c r="P47" s="11" t="n">
        <f aca="false">IF(F47=0,"",_xlfn.MINIFS(Sessions!$A:$A,Sessions!$D:$D,$A47))</f>
        <v>46204</v>
      </c>
      <c r="Q47" s="11" t="n">
        <f aca="false">IF(F47=0,"",_xlfn.MAXIFS(Sessions!$A:$A,Sessions!$D:$D,$A47))</f>
        <v>46262</v>
      </c>
      <c r="R47" s="12" t="n">
        <f aca="false">SUMIFS(Sessions!$J:$J,Sessions!$D:$D,$A47)</f>
        <v>3</v>
      </c>
    </row>
    <row r="48" customFormat="false" ht="15" hidden="false" customHeight="false" outlineLevel="0" collapsed="false">
      <c r="A48" s="2" t="s">
        <v>404</v>
      </c>
      <c r="B48" s="2" t="s">
        <v>405</v>
      </c>
      <c r="C48" s="2" t="s">
        <v>62</v>
      </c>
      <c r="D48" s="2"/>
      <c r="E48" s="12" t="n">
        <v>24</v>
      </c>
      <c r="F48" s="12" t="n">
        <f aca="false">SUMIFS(Sessions!$I:$I,Sessions!$D:$D,$A48)</f>
        <v>0</v>
      </c>
      <c r="G48" s="12" t="n">
        <f aca="false">SUMIFS(Sessions!$I:$I,Sessions!$D:$D,$A48,Sessions!$B:$B,"ChatGPT")</f>
        <v>0</v>
      </c>
      <c r="H48" s="12" t="n">
        <f aca="false">SUMIFS(Sessions!$I:$I,Sessions!$D:$D,$A48,Sessions!$B:$B,"Claude")</f>
        <v>0</v>
      </c>
      <c r="I48" s="12" t="n">
        <f aca="false">SUMIFS(Sessions!$I:$I,Sessions!$D:$D,$A48,Sessions!$B:$B,"Gemini")</f>
        <v>0</v>
      </c>
      <c r="J48" s="12" t="n">
        <f aca="false">SUMIFS(Sessions!$I:$I,Sessions!$D:$D,$A48,Sessions!$B:$B,"Copilot")</f>
        <v>0</v>
      </c>
      <c r="K48" s="14" t="n">
        <f aca="false">IFERROR(F48/E48,"")</f>
        <v>0</v>
      </c>
      <c r="L48" s="15" t="n">
        <f aca="false">IFERROR(J48/E48,"")</f>
        <v>0</v>
      </c>
      <c r="M48" s="14" t="n">
        <f aca="false">IFERROR(E48/$E$106,"")</f>
        <v>0.00260812866768094</v>
      </c>
      <c r="N48" s="14" t="n">
        <f aca="false">IFERROR(F48/$F$106,"")</f>
        <v>0</v>
      </c>
      <c r="O48" s="2" t="s">
        <v>383</v>
      </c>
      <c r="P48" s="11" t="str">
        <f aca="false">IF(F48=0,"",_xlfn.MINIFS(Sessions!$A:$A,Sessions!$D:$D,$A48))</f>
        <v/>
      </c>
      <c r="Q48" s="11" t="str">
        <f aca="false">IF(F48=0,"",_xlfn.MAXIFS(Sessions!$A:$A,Sessions!$D:$D,$A48))</f>
        <v/>
      </c>
      <c r="R48" s="12" t="n">
        <f aca="false">SUMIFS(Sessions!$J:$J,Sessions!$D:$D,$A48)</f>
        <v>0</v>
      </c>
    </row>
    <row r="49" customFormat="false" ht="15" hidden="false" customHeight="false" outlineLevel="0" collapsed="false">
      <c r="A49" s="2" t="s">
        <v>308</v>
      </c>
      <c r="B49" s="2" t="s">
        <v>309</v>
      </c>
      <c r="C49" s="2" t="s">
        <v>62</v>
      </c>
      <c r="D49" s="2" t="s">
        <v>307</v>
      </c>
      <c r="E49" s="12" t="n">
        <v>23</v>
      </c>
      <c r="F49" s="12" t="n">
        <f aca="false">SUMIFS(Sessions!$I:$I,Sessions!$D:$D,$A49)</f>
        <v>1</v>
      </c>
      <c r="G49" s="12" t="n">
        <f aca="false">SUMIFS(Sessions!$I:$I,Sessions!$D:$D,$A49,Sessions!$B:$B,"ChatGPT")</f>
        <v>1</v>
      </c>
      <c r="H49" s="12" t="n">
        <f aca="false">SUMIFS(Sessions!$I:$I,Sessions!$D:$D,$A49,Sessions!$B:$B,"Claude")</f>
        <v>0</v>
      </c>
      <c r="I49" s="12" t="n">
        <f aca="false">SUMIFS(Sessions!$I:$I,Sessions!$D:$D,$A49,Sessions!$B:$B,"Gemini")</f>
        <v>0</v>
      </c>
      <c r="J49" s="12" t="n">
        <f aca="false">SUMIFS(Sessions!$I:$I,Sessions!$D:$D,$A49,Sessions!$B:$B,"Copilot")</f>
        <v>0</v>
      </c>
      <c r="K49" s="14" t="n">
        <f aca="false">IFERROR(F49/E49,"")</f>
        <v>0.0434782608695652</v>
      </c>
      <c r="L49" s="15" t="n">
        <f aca="false">IFERROR(J49/E49,"")</f>
        <v>0</v>
      </c>
      <c r="M49" s="14" t="n">
        <f aca="false">IFERROR(E49/$E$106,"")</f>
        <v>0.0024994566398609</v>
      </c>
      <c r="N49" s="14" t="n">
        <f aca="false">IFERROR(F49/$F$106,"")</f>
        <v>0.00225733634311512</v>
      </c>
      <c r="O49" s="2" t="s">
        <v>380</v>
      </c>
      <c r="P49" s="11" t="n">
        <f aca="false">IF(F49=0,"",_xlfn.MINIFS(Sessions!$A:$A,Sessions!$D:$D,$A49))</f>
        <v>46256</v>
      </c>
      <c r="Q49" s="11" t="n">
        <f aca="false">IF(F49=0,"",_xlfn.MAXIFS(Sessions!$A:$A,Sessions!$D:$D,$A49))</f>
        <v>46256</v>
      </c>
      <c r="R49" s="12" t="n">
        <f aca="false">SUMIFS(Sessions!$J:$J,Sessions!$D:$D,$A49)</f>
        <v>1</v>
      </c>
    </row>
    <row r="50" customFormat="false" ht="15" hidden="false" customHeight="false" outlineLevel="0" collapsed="false">
      <c r="A50" s="2" t="s">
        <v>311</v>
      </c>
      <c r="B50" s="2" t="s">
        <v>312</v>
      </c>
      <c r="C50" s="2" t="s">
        <v>62</v>
      </c>
      <c r="D50" s="2" t="s">
        <v>310</v>
      </c>
      <c r="E50" s="12" t="n">
        <v>21</v>
      </c>
      <c r="F50" s="12" t="n">
        <f aca="false">SUMIFS(Sessions!$I:$I,Sessions!$D:$D,$A50)</f>
        <v>3</v>
      </c>
      <c r="G50" s="12" t="n">
        <f aca="false">SUMIFS(Sessions!$I:$I,Sessions!$D:$D,$A50,Sessions!$B:$B,"ChatGPT")</f>
        <v>2</v>
      </c>
      <c r="H50" s="12" t="n">
        <f aca="false">SUMIFS(Sessions!$I:$I,Sessions!$D:$D,$A50,Sessions!$B:$B,"Claude")</f>
        <v>1</v>
      </c>
      <c r="I50" s="12" t="n">
        <f aca="false">SUMIFS(Sessions!$I:$I,Sessions!$D:$D,$A50,Sessions!$B:$B,"Gemini")</f>
        <v>0</v>
      </c>
      <c r="J50" s="12" t="n">
        <f aca="false">SUMIFS(Sessions!$I:$I,Sessions!$D:$D,$A50,Sessions!$B:$B,"Copilot")</f>
        <v>0</v>
      </c>
      <c r="K50" s="14" t="n">
        <f aca="false">IFERROR(F50/E50,"")</f>
        <v>0.142857142857143</v>
      </c>
      <c r="L50" s="15" t="n">
        <f aca="false">IFERROR(J50/E50,"")</f>
        <v>0</v>
      </c>
      <c r="M50" s="14" t="n">
        <f aca="false">IFERROR(E50/$E$106,"")</f>
        <v>0.00228211258422082</v>
      </c>
      <c r="N50" s="14" t="n">
        <f aca="false">IFERROR(F50/$F$106,"")</f>
        <v>0.00677200902934537</v>
      </c>
      <c r="O50" s="2" t="s">
        <v>380</v>
      </c>
      <c r="P50" s="11" t="n">
        <f aca="false">IF(F50=0,"",_xlfn.MINIFS(Sessions!$A:$A,Sessions!$D:$D,$A50))</f>
        <v>46256</v>
      </c>
      <c r="Q50" s="11" t="n">
        <f aca="false">IF(F50=0,"",_xlfn.MAXIFS(Sessions!$A:$A,Sessions!$D:$D,$A50))</f>
        <v>46272</v>
      </c>
      <c r="R50" s="12" t="n">
        <f aca="false">SUMIFS(Sessions!$J:$J,Sessions!$D:$D,$A50)</f>
        <v>3</v>
      </c>
    </row>
    <row r="51" customFormat="false" ht="15" hidden="false" customHeight="false" outlineLevel="0" collapsed="false">
      <c r="A51" s="2" t="s">
        <v>406</v>
      </c>
      <c r="B51" s="2" t="s">
        <v>407</v>
      </c>
      <c r="C51" s="2" t="s">
        <v>109</v>
      </c>
      <c r="D51" s="2"/>
      <c r="E51" s="12" t="n">
        <v>20</v>
      </c>
      <c r="F51" s="12" t="n">
        <f aca="false">SUMIFS(Sessions!$I:$I,Sessions!$D:$D,$A51)</f>
        <v>0</v>
      </c>
      <c r="G51" s="12" t="n">
        <f aca="false">SUMIFS(Sessions!$I:$I,Sessions!$D:$D,$A51,Sessions!$B:$B,"ChatGPT")</f>
        <v>0</v>
      </c>
      <c r="H51" s="12" t="n">
        <f aca="false">SUMIFS(Sessions!$I:$I,Sessions!$D:$D,$A51,Sessions!$B:$B,"Claude")</f>
        <v>0</v>
      </c>
      <c r="I51" s="12" t="n">
        <f aca="false">SUMIFS(Sessions!$I:$I,Sessions!$D:$D,$A51,Sessions!$B:$B,"Gemini")</f>
        <v>0</v>
      </c>
      <c r="J51" s="12" t="n">
        <f aca="false">SUMIFS(Sessions!$I:$I,Sessions!$D:$D,$A51,Sessions!$B:$B,"Copilot")</f>
        <v>0</v>
      </c>
      <c r="K51" s="14" t="n">
        <f aca="false">IFERROR(F51/E51,"")</f>
        <v>0</v>
      </c>
      <c r="L51" s="15" t="n">
        <f aca="false">IFERROR(J51/E51,"")</f>
        <v>0</v>
      </c>
      <c r="M51" s="14" t="n">
        <f aca="false">IFERROR(E51/$E$106,"")</f>
        <v>0.00217344055640078</v>
      </c>
      <c r="N51" s="14" t="n">
        <f aca="false">IFERROR(F51/$F$106,"")</f>
        <v>0</v>
      </c>
      <c r="O51" s="2" t="s">
        <v>383</v>
      </c>
      <c r="P51" s="11" t="str">
        <f aca="false">IF(F51=0,"",_xlfn.MINIFS(Sessions!$A:$A,Sessions!$D:$D,$A51))</f>
        <v/>
      </c>
      <c r="Q51" s="11" t="str">
        <f aca="false">IF(F51=0,"",_xlfn.MAXIFS(Sessions!$A:$A,Sessions!$D:$D,$A51))</f>
        <v/>
      </c>
      <c r="R51" s="12" t="n">
        <f aca="false">SUMIFS(Sessions!$J:$J,Sessions!$D:$D,$A51)</f>
        <v>0</v>
      </c>
    </row>
    <row r="52" customFormat="false" ht="15" hidden="false" customHeight="false" outlineLevel="0" collapsed="false">
      <c r="A52" s="2" t="s">
        <v>362</v>
      </c>
      <c r="B52" s="2" t="s">
        <v>363</v>
      </c>
      <c r="C52" s="2" t="s">
        <v>62</v>
      </c>
      <c r="D52" s="2" t="s">
        <v>361</v>
      </c>
      <c r="E52" s="12" t="n">
        <v>19</v>
      </c>
      <c r="F52" s="12" t="n">
        <f aca="false">SUMIFS(Sessions!$I:$I,Sessions!$D:$D,$A52)</f>
        <v>1</v>
      </c>
      <c r="G52" s="12" t="n">
        <f aca="false">SUMIFS(Sessions!$I:$I,Sessions!$D:$D,$A52,Sessions!$B:$B,"ChatGPT")</f>
        <v>1</v>
      </c>
      <c r="H52" s="12" t="n">
        <f aca="false">SUMIFS(Sessions!$I:$I,Sessions!$D:$D,$A52,Sessions!$B:$B,"Claude")</f>
        <v>0</v>
      </c>
      <c r="I52" s="12" t="n">
        <f aca="false">SUMIFS(Sessions!$I:$I,Sessions!$D:$D,$A52,Sessions!$B:$B,"Gemini")</f>
        <v>0</v>
      </c>
      <c r="J52" s="12" t="n">
        <f aca="false">SUMIFS(Sessions!$I:$I,Sessions!$D:$D,$A52,Sessions!$B:$B,"Copilot")</f>
        <v>0</v>
      </c>
      <c r="K52" s="14" t="n">
        <f aca="false">IFERROR(F52/E52,"")</f>
        <v>0.0526315789473684</v>
      </c>
      <c r="L52" s="15" t="n">
        <f aca="false">IFERROR(J52/E52,"")</f>
        <v>0</v>
      </c>
      <c r="M52" s="14" t="n">
        <f aca="false">IFERROR(E52/$E$106,"")</f>
        <v>0.00206476852858074</v>
      </c>
      <c r="N52" s="14" t="n">
        <f aca="false">IFERROR(F52/$F$106,"")</f>
        <v>0.00225733634311512</v>
      </c>
      <c r="O52" s="2" t="s">
        <v>380</v>
      </c>
      <c r="P52" s="11" t="n">
        <f aca="false">IF(F52=0,"",_xlfn.MINIFS(Sessions!$A:$A,Sessions!$D:$D,$A52))</f>
        <v>46274</v>
      </c>
      <c r="Q52" s="11" t="n">
        <f aca="false">IF(F52=0,"",_xlfn.MAXIFS(Sessions!$A:$A,Sessions!$D:$D,$A52))</f>
        <v>46274</v>
      </c>
      <c r="R52" s="12" t="n">
        <f aca="false">SUMIFS(Sessions!$J:$J,Sessions!$D:$D,$A52)</f>
        <v>1</v>
      </c>
    </row>
    <row r="53" customFormat="false" ht="15" hidden="false" customHeight="false" outlineLevel="0" collapsed="false">
      <c r="A53" s="2" t="s">
        <v>408</v>
      </c>
      <c r="B53" s="2" t="s">
        <v>409</v>
      </c>
      <c r="C53" s="2" t="s">
        <v>62</v>
      </c>
      <c r="D53" s="2"/>
      <c r="E53" s="12" t="n">
        <v>19</v>
      </c>
      <c r="F53" s="12" t="n">
        <f aca="false">SUMIFS(Sessions!$I:$I,Sessions!$D:$D,$A53)</f>
        <v>0</v>
      </c>
      <c r="G53" s="12" t="n">
        <f aca="false">SUMIFS(Sessions!$I:$I,Sessions!$D:$D,$A53,Sessions!$B:$B,"ChatGPT")</f>
        <v>0</v>
      </c>
      <c r="H53" s="12" t="n">
        <f aca="false">SUMIFS(Sessions!$I:$I,Sessions!$D:$D,$A53,Sessions!$B:$B,"Claude")</f>
        <v>0</v>
      </c>
      <c r="I53" s="12" t="n">
        <f aca="false">SUMIFS(Sessions!$I:$I,Sessions!$D:$D,$A53,Sessions!$B:$B,"Gemini")</f>
        <v>0</v>
      </c>
      <c r="J53" s="12" t="n">
        <f aca="false">SUMIFS(Sessions!$I:$I,Sessions!$D:$D,$A53,Sessions!$B:$B,"Copilot")</f>
        <v>0</v>
      </c>
      <c r="K53" s="14" t="n">
        <f aca="false">IFERROR(F53/E53,"")</f>
        <v>0</v>
      </c>
      <c r="L53" s="15" t="n">
        <f aca="false">IFERROR(J53/E53,"")</f>
        <v>0</v>
      </c>
      <c r="M53" s="14" t="n">
        <f aca="false">IFERROR(E53/$E$106,"")</f>
        <v>0.00206476852858074</v>
      </c>
      <c r="N53" s="14" t="n">
        <f aca="false">IFERROR(F53/$F$106,"")</f>
        <v>0</v>
      </c>
      <c r="O53" s="2" t="s">
        <v>383</v>
      </c>
      <c r="P53" s="11" t="str">
        <f aca="false">IF(F53=0,"",_xlfn.MINIFS(Sessions!$A:$A,Sessions!$D:$D,$A53))</f>
        <v/>
      </c>
      <c r="Q53" s="11" t="str">
        <f aca="false">IF(F53=0,"",_xlfn.MAXIFS(Sessions!$A:$A,Sessions!$D:$D,$A53))</f>
        <v/>
      </c>
      <c r="R53" s="12" t="n">
        <f aca="false">SUMIFS(Sessions!$J:$J,Sessions!$D:$D,$A53)</f>
        <v>0</v>
      </c>
    </row>
    <row r="54" customFormat="false" ht="15" hidden="false" customHeight="false" outlineLevel="0" collapsed="false">
      <c r="A54" s="2" t="s">
        <v>79</v>
      </c>
      <c r="B54" s="2" t="s">
        <v>80</v>
      </c>
      <c r="C54" s="2" t="s">
        <v>62</v>
      </c>
      <c r="D54" s="2" t="s">
        <v>78</v>
      </c>
      <c r="E54" s="12" t="n">
        <v>18</v>
      </c>
      <c r="F54" s="12" t="n">
        <f aca="false">SUMIFS(Sessions!$I:$I,Sessions!$D:$D,$A54)</f>
        <v>42</v>
      </c>
      <c r="G54" s="12" t="n">
        <f aca="false">SUMIFS(Sessions!$I:$I,Sessions!$D:$D,$A54,Sessions!$B:$B,"ChatGPT")</f>
        <v>39</v>
      </c>
      <c r="H54" s="12" t="n">
        <f aca="false">SUMIFS(Sessions!$I:$I,Sessions!$D:$D,$A54,Sessions!$B:$B,"Claude")</f>
        <v>3</v>
      </c>
      <c r="I54" s="12" t="n">
        <f aca="false">SUMIFS(Sessions!$I:$I,Sessions!$D:$D,$A54,Sessions!$B:$B,"Gemini")</f>
        <v>0</v>
      </c>
      <c r="J54" s="12" t="n">
        <f aca="false">SUMIFS(Sessions!$I:$I,Sessions!$D:$D,$A54,Sessions!$B:$B,"Copilot")</f>
        <v>0</v>
      </c>
      <c r="K54" s="14" t="n">
        <f aca="false">IFERROR(F54/E54,"")</f>
        <v>2.33333333333333</v>
      </c>
      <c r="L54" s="15" t="n">
        <f aca="false">IFERROR(J54/E54,"")</f>
        <v>0</v>
      </c>
      <c r="M54" s="14" t="n">
        <f aca="false">IFERROR(E54/$E$106,"")</f>
        <v>0.0019560965007607</v>
      </c>
      <c r="N54" s="14" t="n">
        <f aca="false">IFERROR(F54/$F$106,"")</f>
        <v>0.0948081264108352</v>
      </c>
      <c r="O54" s="2" t="s">
        <v>380</v>
      </c>
      <c r="P54" s="11" t="n">
        <f aca="false">IF(F54=0,"",_xlfn.MINIFS(Sessions!$A:$A,Sessions!$D:$D,$A54))</f>
        <v>46163</v>
      </c>
      <c r="Q54" s="11" t="n">
        <f aca="false">IF(F54=0,"",_xlfn.MAXIFS(Sessions!$A:$A,Sessions!$D:$D,$A54))</f>
        <v>46274</v>
      </c>
      <c r="R54" s="12" t="n">
        <f aca="false">SUMIFS(Sessions!$J:$J,Sessions!$D:$D,$A54)</f>
        <v>30</v>
      </c>
    </row>
    <row r="55" customFormat="false" ht="15" hidden="false" customHeight="false" outlineLevel="0" collapsed="false">
      <c r="A55" s="2" t="s">
        <v>292</v>
      </c>
      <c r="B55" s="2" t="s">
        <v>293</v>
      </c>
      <c r="C55" s="2" t="s">
        <v>62</v>
      </c>
      <c r="D55" s="2" t="s">
        <v>291</v>
      </c>
      <c r="E55" s="12" t="n">
        <v>18</v>
      </c>
      <c r="F55" s="12" t="n">
        <f aca="false">SUMIFS(Sessions!$I:$I,Sessions!$D:$D,$A55)</f>
        <v>1</v>
      </c>
      <c r="G55" s="12" t="n">
        <f aca="false">SUMIFS(Sessions!$I:$I,Sessions!$D:$D,$A55,Sessions!$B:$B,"ChatGPT")</f>
        <v>1</v>
      </c>
      <c r="H55" s="12" t="n">
        <f aca="false">SUMIFS(Sessions!$I:$I,Sessions!$D:$D,$A55,Sessions!$B:$B,"Claude")</f>
        <v>0</v>
      </c>
      <c r="I55" s="12" t="n">
        <f aca="false">SUMIFS(Sessions!$I:$I,Sessions!$D:$D,$A55,Sessions!$B:$B,"Gemini")</f>
        <v>0</v>
      </c>
      <c r="J55" s="12" t="n">
        <f aca="false">SUMIFS(Sessions!$I:$I,Sessions!$D:$D,$A55,Sessions!$B:$B,"Copilot")</f>
        <v>0</v>
      </c>
      <c r="K55" s="14" t="n">
        <f aca="false">IFERROR(F55/E55,"")</f>
        <v>0.0555555555555556</v>
      </c>
      <c r="L55" s="15" t="n">
        <f aca="false">IFERROR(J55/E55,"")</f>
        <v>0</v>
      </c>
      <c r="M55" s="14" t="n">
        <f aca="false">IFERROR(E55/$E$106,"")</f>
        <v>0.0019560965007607</v>
      </c>
      <c r="N55" s="14" t="n">
        <f aca="false">IFERROR(F55/$F$106,"")</f>
        <v>0.00225733634311512</v>
      </c>
      <c r="O55" s="2" t="s">
        <v>380</v>
      </c>
      <c r="P55" s="11" t="n">
        <f aca="false">IF(F55=0,"",_xlfn.MINIFS(Sessions!$A:$A,Sessions!$D:$D,$A55))</f>
        <v>46254</v>
      </c>
      <c r="Q55" s="11" t="n">
        <f aca="false">IF(F55=0,"",_xlfn.MAXIFS(Sessions!$A:$A,Sessions!$D:$D,$A55))</f>
        <v>46254</v>
      </c>
      <c r="R55" s="12" t="n">
        <f aca="false">SUMIFS(Sessions!$J:$J,Sessions!$D:$D,$A55)</f>
        <v>1</v>
      </c>
    </row>
    <row r="56" customFormat="false" ht="15" hidden="false" customHeight="false" outlineLevel="0" collapsed="false">
      <c r="A56" s="2" t="s">
        <v>410</v>
      </c>
      <c r="B56" s="2" t="s">
        <v>411</v>
      </c>
      <c r="C56" s="2" t="s">
        <v>62</v>
      </c>
      <c r="D56" s="2"/>
      <c r="E56" s="12" t="n">
        <v>17</v>
      </c>
      <c r="F56" s="12" t="n">
        <f aca="false">SUMIFS(Sessions!$I:$I,Sessions!$D:$D,$A56)</f>
        <v>0</v>
      </c>
      <c r="G56" s="12" t="n">
        <f aca="false">SUMIFS(Sessions!$I:$I,Sessions!$D:$D,$A56,Sessions!$B:$B,"ChatGPT")</f>
        <v>0</v>
      </c>
      <c r="H56" s="12" t="n">
        <f aca="false">SUMIFS(Sessions!$I:$I,Sessions!$D:$D,$A56,Sessions!$B:$B,"Claude")</f>
        <v>0</v>
      </c>
      <c r="I56" s="12" t="n">
        <f aca="false">SUMIFS(Sessions!$I:$I,Sessions!$D:$D,$A56,Sessions!$B:$B,"Gemini")</f>
        <v>0</v>
      </c>
      <c r="J56" s="12" t="n">
        <f aca="false">SUMIFS(Sessions!$I:$I,Sessions!$D:$D,$A56,Sessions!$B:$B,"Copilot")</f>
        <v>0</v>
      </c>
      <c r="K56" s="14" t="n">
        <f aca="false">IFERROR(F56/E56,"")</f>
        <v>0</v>
      </c>
      <c r="L56" s="15" t="n">
        <f aca="false">IFERROR(J56/E56,"")</f>
        <v>0</v>
      </c>
      <c r="M56" s="14" t="n">
        <f aca="false">IFERROR(E56/$E$106,"")</f>
        <v>0.00184742447294067</v>
      </c>
      <c r="N56" s="14" t="n">
        <f aca="false">IFERROR(F56/$F$106,"")</f>
        <v>0</v>
      </c>
      <c r="O56" s="2" t="s">
        <v>383</v>
      </c>
      <c r="P56" s="11" t="str">
        <f aca="false">IF(F56=0,"",_xlfn.MINIFS(Sessions!$A:$A,Sessions!$D:$D,$A56))</f>
        <v/>
      </c>
      <c r="Q56" s="11" t="str">
        <f aca="false">IF(F56=0,"",_xlfn.MAXIFS(Sessions!$A:$A,Sessions!$D:$D,$A56))</f>
        <v/>
      </c>
      <c r="R56" s="12" t="n">
        <f aca="false">SUMIFS(Sessions!$J:$J,Sessions!$D:$D,$A56)</f>
        <v>0</v>
      </c>
    </row>
    <row r="57" customFormat="false" ht="15" hidden="false" customHeight="false" outlineLevel="0" collapsed="false">
      <c r="A57" s="2" t="s">
        <v>160</v>
      </c>
      <c r="B57" s="2" t="s">
        <v>161</v>
      </c>
      <c r="C57" s="2" t="s">
        <v>62</v>
      </c>
      <c r="D57" s="2" t="s">
        <v>159</v>
      </c>
      <c r="E57" s="12" t="n">
        <v>16</v>
      </c>
      <c r="F57" s="12" t="n">
        <f aca="false">SUMIFS(Sessions!$I:$I,Sessions!$D:$D,$A57)</f>
        <v>4</v>
      </c>
      <c r="G57" s="12" t="n">
        <f aca="false">SUMIFS(Sessions!$I:$I,Sessions!$D:$D,$A57,Sessions!$B:$B,"ChatGPT")</f>
        <v>4</v>
      </c>
      <c r="H57" s="12" t="n">
        <f aca="false">SUMIFS(Sessions!$I:$I,Sessions!$D:$D,$A57,Sessions!$B:$B,"Claude")</f>
        <v>0</v>
      </c>
      <c r="I57" s="12" t="n">
        <f aca="false">SUMIFS(Sessions!$I:$I,Sessions!$D:$D,$A57,Sessions!$B:$B,"Gemini")</f>
        <v>0</v>
      </c>
      <c r="J57" s="12" t="n">
        <f aca="false">SUMIFS(Sessions!$I:$I,Sessions!$D:$D,$A57,Sessions!$B:$B,"Copilot")</f>
        <v>0</v>
      </c>
      <c r="K57" s="14" t="n">
        <f aca="false">IFERROR(F57/E57,"")</f>
        <v>0.25</v>
      </c>
      <c r="L57" s="15" t="n">
        <f aca="false">IFERROR(J57/E57,"")</f>
        <v>0</v>
      </c>
      <c r="M57" s="14" t="n">
        <f aca="false">IFERROR(E57/$E$106,"")</f>
        <v>0.00173875244512063</v>
      </c>
      <c r="N57" s="14" t="n">
        <f aca="false">IFERROR(F57/$F$106,"")</f>
        <v>0.0090293453724605</v>
      </c>
      <c r="O57" s="2" t="s">
        <v>380</v>
      </c>
      <c r="P57" s="11" t="n">
        <f aca="false">IF(F57=0,"",_xlfn.MINIFS(Sessions!$A:$A,Sessions!$D:$D,$A57))</f>
        <v>46208</v>
      </c>
      <c r="Q57" s="11" t="n">
        <f aca="false">IF(F57=0,"",_xlfn.MAXIFS(Sessions!$A:$A,Sessions!$D:$D,$A57))</f>
        <v>46276</v>
      </c>
      <c r="R57" s="12" t="n">
        <f aca="false">SUMIFS(Sessions!$J:$J,Sessions!$D:$D,$A57)</f>
        <v>4</v>
      </c>
    </row>
    <row r="58" customFormat="false" ht="15" hidden="false" customHeight="false" outlineLevel="0" collapsed="false">
      <c r="A58" s="2" t="s">
        <v>412</v>
      </c>
      <c r="B58" s="2" t="s">
        <v>413</v>
      </c>
      <c r="C58" s="2" t="s">
        <v>94</v>
      </c>
      <c r="D58" s="2"/>
      <c r="E58" s="12" t="n">
        <v>16</v>
      </c>
      <c r="F58" s="12" t="n">
        <f aca="false">SUMIFS(Sessions!$I:$I,Sessions!$D:$D,$A58)</f>
        <v>0</v>
      </c>
      <c r="G58" s="12" t="n">
        <f aca="false">SUMIFS(Sessions!$I:$I,Sessions!$D:$D,$A58,Sessions!$B:$B,"ChatGPT")</f>
        <v>0</v>
      </c>
      <c r="H58" s="12" t="n">
        <f aca="false">SUMIFS(Sessions!$I:$I,Sessions!$D:$D,$A58,Sessions!$B:$B,"Claude")</f>
        <v>0</v>
      </c>
      <c r="I58" s="12" t="n">
        <f aca="false">SUMIFS(Sessions!$I:$I,Sessions!$D:$D,$A58,Sessions!$B:$B,"Gemini")</f>
        <v>0</v>
      </c>
      <c r="J58" s="12" t="n">
        <f aca="false">SUMIFS(Sessions!$I:$I,Sessions!$D:$D,$A58,Sessions!$B:$B,"Copilot")</f>
        <v>0</v>
      </c>
      <c r="K58" s="14" t="n">
        <f aca="false">IFERROR(F58/E58,"")</f>
        <v>0</v>
      </c>
      <c r="L58" s="15" t="n">
        <f aca="false">IFERROR(J58/E58,"")</f>
        <v>0</v>
      </c>
      <c r="M58" s="14" t="n">
        <f aca="false">IFERROR(E58/$E$106,"")</f>
        <v>0.00173875244512063</v>
      </c>
      <c r="N58" s="14" t="n">
        <f aca="false">IFERROR(F58/$F$106,"")</f>
        <v>0</v>
      </c>
      <c r="O58" s="2" t="s">
        <v>383</v>
      </c>
      <c r="P58" s="11" t="str">
        <f aca="false">IF(F58=0,"",_xlfn.MINIFS(Sessions!$A:$A,Sessions!$D:$D,$A58))</f>
        <v/>
      </c>
      <c r="Q58" s="11" t="str">
        <f aca="false">IF(F58=0,"",_xlfn.MAXIFS(Sessions!$A:$A,Sessions!$D:$D,$A58))</f>
        <v/>
      </c>
      <c r="R58" s="12" t="n">
        <f aca="false">SUMIFS(Sessions!$J:$J,Sessions!$D:$D,$A58)</f>
        <v>0</v>
      </c>
    </row>
    <row r="59" customFormat="false" ht="15" hidden="false" customHeight="false" outlineLevel="0" collapsed="false">
      <c r="A59" s="2" t="s">
        <v>172</v>
      </c>
      <c r="B59" s="2" t="s">
        <v>173</v>
      </c>
      <c r="C59" s="2" t="s">
        <v>62</v>
      </c>
      <c r="D59" s="2" t="s">
        <v>171</v>
      </c>
      <c r="E59" s="12" t="n">
        <v>15</v>
      </c>
      <c r="F59" s="12" t="n">
        <f aca="false">SUMIFS(Sessions!$I:$I,Sessions!$D:$D,$A59)</f>
        <v>6</v>
      </c>
      <c r="G59" s="12" t="n">
        <f aca="false">SUMIFS(Sessions!$I:$I,Sessions!$D:$D,$A59,Sessions!$B:$B,"ChatGPT")</f>
        <v>6</v>
      </c>
      <c r="H59" s="12" t="n">
        <f aca="false">SUMIFS(Sessions!$I:$I,Sessions!$D:$D,$A59,Sessions!$B:$B,"Claude")</f>
        <v>0</v>
      </c>
      <c r="I59" s="12" t="n">
        <f aca="false">SUMIFS(Sessions!$I:$I,Sessions!$D:$D,$A59,Sessions!$B:$B,"Gemini")</f>
        <v>0</v>
      </c>
      <c r="J59" s="12" t="n">
        <f aca="false">SUMIFS(Sessions!$I:$I,Sessions!$D:$D,$A59,Sessions!$B:$B,"Copilot")</f>
        <v>0</v>
      </c>
      <c r="K59" s="14" t="n">
        <f aca="false">IFERROR(F59/E59,"")</f>
        <v>0.4</v>
      </c>
      <c r="L59" s="15" t="n">
        <f aca="false">IFERROR(J59/E59,"")</f>
        <v>0</v>
      </c>
      <c r="M59" s="14" t="n">
        <f aca="false">IFERROR(E59/$E$106,"")</f>
        <v>0.00163008041730059</v>
      </c>
      <c r="N59" s="14" t="n">
        <f aca="false">IFERROR(F59/$F$106,"")</f>
        <v>0.0135440180586907</v>
      </c>
      <c r="O59" s="2" t="s">
        <v>380</v>
      </c>
      <c r="P59" s="11" t="n">
        <f aca="false">IF(F59=0,"",_xlfn.MINIFS(Sessions!$A:$A,Sessions!$D:$D,$A59))</f>
        <v>46219</v>
      </c>
      <c r="Q59" s="11" t="n">
        <f aca="false">IF(F59=0,"",_xlfn.MAXIFS(Sessions!$A:$A,Sessions!$D:$D,$A59))</f>
        <v>46275</v>
      </c>
      <c r="R59" s="12" t="n">
        <f aca="false">SUMIFS(Sessions!$J:$J,Sessions!$D:$D,$A59)</f>
        <v>6</v>
      </c>
    </row>
    <row r="60" customFormat="false" ht="15" hidden="false" customHeight="false" outlineLevel="0" collapsed="false">
      <c r="A60" s="2" t="s">
        <v>414</v>
      </c>
      <c r="B60" s="2" t="s">
        <v>415</v>
      </c>
      <c r="C60" s="2" t="s">
        <v>62</v>
      </c>
      <c r="D60" s="2"/>
      <c r="E60" s="12" t="n">
        <v>13</v>
      </c>
      <c r="F60" s="12" t="n">
        <f aca="false">SUMIFS(Sessions!$I:$I,Sessions!$D:$D,$A60)</f>
        <v>0</v>
      </c>
      <c r="G60" s="12" t="n">
        <f aca="false">SUMIFS(Sessions!$I:$I,Sessions!$D:$D,$A60,Sessions!$B:$B,"ChatGPT")</f>
        <v>0</v>
      </c>
      <c r="H60" s="12" t="n">
        <f aca="false">SUMIFS(Sessions!$I:$I,Sessions!$D:$D,$A60,Sessions!$B:$B,"Claude")</f>
        <v>0</v>
      </c>
      <c r="I60" s="12" t="n">
        <f aca="false">SUMIFS(Sessions!$I:$I,Sessions!$D:$D,$A60,Sessions!$B:$B,"Gemini")</f>
        <v>0</v>
      </c>
      <c r="J60" s="12" t="n">
        <f aca="false">SUMIFS(Sessions!$I:$I,Sessions!$D:$D,$A60,Sessions!$B:$B,"Copilot")</f>
        <v>0</v>
      </c>
      <c r="K60" s="14" t="n">
        <f aca="false">IFERROR(F60/E60,"")</f>
        <v>0</v>
      </c>
      <c r="L60" s="15" t="n">
        <f aca="false">IFERROR(J60/E60,"")</f>
        <v>0</v>
      </c>
      <c r="M60" s="14" t="n">
        <f aca="false">IFERROR(E60/$E$106,"")</f>
        <v>0.00141273636166051</v>
      </c>
      <c r="N60" s="14" t="n">
        <f aca="false">IFERROR(F60/$F$106,"")</f>
        <v>0</v>
      </c>
      <c r="O60" s="2" t="s">
        <v>383</v>
      </c>
      <c r="P60" s="11" t="str">
        <f aca="false">IF(F60=0,"",_xlfn.MINIFS(Sessions!$A:$A,Sessions!$D:$D,$A60))</f>
        <v/>
      </c>
      <c r="Q60" s="11" t="str">
        <f aca="false">IF(F60=0,"",_xlfn.MAXIFS(Sessions!$A:$A,Sessions!$D:$D,$A60))</f>
        <v/>
      </c>
      <c r="R60" s="12" t="n">
        <f aca="false">SUMIFS(Sessions!$J:$J,Sessions!$D:$D,$A60)</f>
        <v>0</v>
      </c>
    </row>
    <row r="61" customFormat="false" ht="15" hidden="false" customHeight="false" outlineLevel="0" collapsed="false">
      <c r="A61" s="2" t="s">
        <v>338</v>
      </c>
      <c r="B61" s="2" t="s">
        <v>339</v>
      </c>
      <c r="C61" s="2" t="s">
        <v>62</v>
      </c>
      <c r="D61" s="2" t="s">
        <v>337</v>
      </c>
      <c r="E61" s="12" t="n">
        <v>12</v>
      </c>
      <c r="F61" s="12" t="n">
        <f aca="false">SUMIFS(Sessions!$I:$I,Sessions!$D:$D,$A61)</f>
        <v>1</v>
      </c>
      <c r="G61" s="12" t="n">
        <f aca="false">SUMIFS(Sessions!$I:$I,Sessions!$D:$D,$A61,Sessions!$B:$B,"ChatGPT")</f>
        <v>1</v>
      </c>
      <c r="H61" s="12" t="n">
        <f aca="false">SUMIFS(Sessions!$I:$I,Sessions!$D:$D,$A61,Sessions!$B:$B,"Claude")</f>
        <v>0</v>
      </c>
      <c r="I61" s="12" t="n">
        <f aca="false">SUMIFS(Sessions!$I:$I,Sessions!$D:$D,$A61,Sessions!$B:$B,"Gemini")</f>
        <v>0</v>
      </c>
      <c r="J61" s="12" t="n">
        <f aca="false">SUMIFS(Sessions!$I:$I,Sessions!$D:$D,$A61,Sessions!$B:$B,"Copilot")</f>
        <v>0</v>
      </c>
      <c r="K61" s="14" t="n">
        <f aca="false">IFERROR(F61/E61,"")</f>
        <v>0.0833333333333333</v>
      </c>
      <c r="L61" s="15" t="n">
        <f aca="false">IFERROR(J61/E61,"")</f>
        <v>0</v>
      </c>
      <c r="M61" s="14" t="n">
        <f aca="false">IFERROR(E61/$E$106,"")</f>
        <v>0.00130406433384047</v>
      </c>
      <c r="N61" s="14" t="n">
        <f aca="false">IFERROR(F61/$F$106,"")</f>
        <v>0.00225733634311512</v>
      </c>
      <c r="O61" s="2" t="s">
        <v>380</v>
      </c>
      <c r="P61" s="11" t="n">
        <f aca="false">IF(F61=0,"",_xlfn.MINIFS(Sessions!$A:$A,Sessions!$D:$D,$A61))</f>
        <v>46264</v>
      </c>
      <c r="Q61" s="11" t="n">
        <f aca="false">IF(F61=0,"",_xlfn.MAXIFS(Sessions!$A:$A,Sessions!$D:$D,$A61))</f>
        <v>46264</v>
      </c>
      <c r="R61" s="12" t="n">
        <f aca="false">SUMIFS(Sessions!$J:$J,Sessions!$D:$D,$A61)</f>
        <v>1</v>
      </c>
    </row>
    <row r="62" customFormat="false" ht="15" hidden="false" customHeight="false" outlineLevel="0" collapsed="false">
      <c r="A62" s="2" t="s">
        <v>416</v>
      </c>
      <c r="B62" s="2" t="s">
        <v>417</v>
      </c>
      <c r="C62" s="2" t="s">
        <v>62</v>
      </c>
      <c r="D62" s="2"/>
      <c r="E62" s="12" t="n">
        <v>12</v>
      </c>
      <c r="F62" s="12" t="n">
        <f aca="false">SUMIFS(Sessions!$I:$I,Sessions!$D:$D,$A62)</f>
        <v>0</v>
      </c>
      <c r="G62" s="12" t="n">
        <f aca="false">SUMIFS(Sessions!$I:$I,Sessions!$D:$D,$A62,Sessions!$B:$B,"ChatGPT")</f>
        <v>0</v>
      </c>
      <c r="H62" s="12" t="n">
        <f aca="false">SUMIFS(Sessions!$I:$I,Sessions!$D:$D,$A62,Sessions!$B:$B,"Claude")</f>
        <v>0</v>
      </c>
      <c r="I62" s="12" t="n">
        <f aca="false">SUMIFS(Sessions!$I:$I,Sessions!$D:$D,$A62,Sessions!$B:$B,"Gemini")</f>
        <v>0</v>
      </c>
      <c r="J62" s="12" t="n">
        <f aca="false">SUMIFS(Sessions!$I:$I,Sessions!$D:$D,$A62,Sessions!$B:$B,"Copilot")</f>
        <v>0</v>
      </c>
      <c r="K62" s="14" t="n">
        <f aca="false">IFERROR(F62/E62,"")</f>
        <v>0</v>
      </c>
      <c r="L62" s="15" t="n">
        <f aca="false">IFERROR(J62/E62,"")</f>
        <v>0</v>
      </c>
      <c r="M62" s="14" t="n">
        <f aca="false">IFERROR(E62/$E$106,"")</f>
        <v>0.00130406433384047</v>
      </c>
      <c r="N62" s="14" t="n">
        <f aca="false">IFERROR(F62/$F$106,"")</f>
        <v>0</v>
      </c>
      <c r="O62" s="2" t="s">
        <v>383</v>
      </c>
      <c r="P62" s="11" t="str">
        <f aca="false">IF(F62=0,"",_xlfn.MINIFS(Sessions!$A:$A,Sessions!$D:$D,$A62))</f>
        <v/>
      </c>
      <c r="Q62" s="11" t="str">
        <f aca="false">IF(F62=0,"",_xlfn.MAXIFS(Sessions!$A:$A,Sessions!$D:$D,$A62))</f>
        <v/>
      </c>
      <c r="R62" s="12" t="n">
        <f aca="false">SUMIFS(Sessions!$J:$J,Sessions!$D:$D,$A62)</f>
        <v>0</v>
      </c>
    </row>
    <row r="63" customFormat="false" ht="15" hidden="false" customHeight="false" outlineLevel="0" collapsed="false">
      <c r="A63" s="2" t="s">
        <v>210</v>
      </c>
      <c r="B63" s="2" t="s">
        <v>211</v>
      </c>
      <c r="C63" s="2" t="s">
        <v>109</v>
      </c>
      <c r="D63" s="2" t="s">
        <v>209</v>
      </c>
      <c r="E63" s="12" t="n">
        <v>10</v>
      </c>
      <c r="F63" s="12" t="n">
        <f aca="false">SUMIFS(Sessions!$I:$I,Sessions!$D:$D,$A63)</f>
        <v>2</v>
      </c>
      <c r="G63" s="12" t="n">
        <f aca="false">SUMIFS(Sessions!$I:$I,Sessions!$D:$D,$A63,Sessions!$B:$B,"ChatGPT")</f>
        <v>2</v>
      </c>
      <c r="H63" s="12" t="n">
        <f aca="false">SUMIFS(Sessions!$I:$I,Sessions!$D:$D,$A63,Sessions!$B:$B,"Claude")</f>
        <v>0</v>
      </c>
      <c r="I63" s="12" t="n">
        <f aca="false">SUMIFS(Sessions!$I:$I,Sessions!$D:$D,$A63,Sessions!$B:$B,"Gemini")</f>
        <v>0</v>
      </c>
      <c r="J63" s="12" t="n">
        <f aca="false">SUMIFS(Sessions!$I:$I,Sessions!$D:$D,$A63,Sessions!$B:$B,"Copilot")</f>
        <v>0</v>
      </c>
      <c r="K63" s="14" t="n">
        <f aca="false">IFERROR(F63/E63,"")</f>
        <v>0.2</v>
      </c>
      <c r="L63" s="15" t="n">
        <f aca="false">IFERROR(J63/E63,"")</f>
        <v>0</v>
      </c>
      <c r="M63" s="14" t="n">
        <f aca="false">IFERROR(E63/$E$106,"")</f>
        <v>0.00108672027820039</v>
      </c>
      <c r="N63" s="14" t="n">
        <f aca="false">IFERROR(F63/$F$106,"")</f>
        <v>0.00451467268623025</v>
      </c>
      <c r="O63" s="2" t="s">
        <v>380</v>
      </c>
      <c r="P63" s="11" t="n">
        <f aca="false">IF(F63=0,"",_xlfn.MINIFS(Sessions!$A:$A,Sessions!$D:$D,$A63))</f>
        <v>46233</v>
      </c>
      <c r="Q63" s="11" t="n">
        <f aca="false">IF(F63=0,"",_xlfn.MAXIFS(Sessions!$A:$A,Sessions!$D:$D,$A63))</f>
        <v>46248</v>
      </c>
      <c r="R63" s="12" t="n">
        <f aca="false">SUMIFS(Sessions!$J:$J,Sessions!$D:$D,$A63)</f>
        <v>2</v>
      </c>
    </row>
    <row r="64" customFormat="false" ht="15" hidden="false" customHeight="false" outlineLevel="0" collapsed="false">
      <c r="A64" s="2" t="s">
        <v>229</v>
      </c>
      <c r="B64" s="2" t="s">
        <v>230</v>
      </c>
      <c r="C64" s="2" t="s">
        <v>62</v>
      </c>
      <c r="D64" s="2" t="s">
        <v>228</v>
      </c>
      <c r="E64" s="12" t="n">
        <v>10</v>
      </c>
      <c r="F64" s="12" t="n">
        <f aca="false">SUMIFS(Sessions!$I:$I,Sessions!$D:$D,$A64)</f>
        <v>1</v>
      </c>
      <c r="G64" s="12" t="n">
        <f aca="false">SUMIFS(Sessions!$I:$I,Sessions!$D:$D,$A64,Sessions!$B:$B,"ChatGPT")</f>
        <v>1</v>
      </c>
      <c r="H64" s="12" t="n">
        <f aca="false">SUMIFS(Sessions!$I:$I,Sessions!$D:$D,$A64,Sessions!$B:$B,"Claude")</f>
        <v>0</v>
      </c>
      <c r="I64" s="12" t="n">
        <f aca="false">SUMIFS(Sessions!$I:$I,Sessions!$D:$D,$A64,Sessions!$B:$B,"Gemini")</f>
        <v>0</v>
      </c>
      <c r="J64" s="12" t="n">
        <f aca="false">SUMIFS(Sessions!$I:$I,Sessions!$D:$D,$A64,Sessions!$B:$B,"Copilot")</f>
        <v>0</v>
      </c>
      <c r="K64" s="14" t="n">
        <f aca="false">IFERROR(F64/E64,"")</f>
        <v>0.1</v>
      </c>
      <c r="L64" s="15" t="n">
        <f aca="false">IFERROR(J64/E64,"")</f>
        <v>0</v>
      </c>
      <c r="M64" s="14" t="n">
        <f aca="false">IFERROR(E64/$E$106,"")</f>
        <v>0.00108672027820039</v>
      </c>
      <c r="N64" s="14" t="n">
        <f aca="false">IFERROR(F64/$F$106,"")</f>
        <v>0.00225733634311512</v>
      </c>
      <c r="O64" s="2" t="s">
        <v>380</v>
      </c>
      <c r="P64" s="11" t="n">
        <f aca="false">IF(F64=0,"",_xlfn.MINIFS(Sessions!$A:$A,Sessions!$D:$D,$A64))</f>
        <v>46244</v>
      </c>
      <c r="Q64" s="11" t="n">
        <f aca="false">IF(F64=0,"",_xlfn.MAXIFS(Sessions!$A:$A,Sessions!$D:$D,$A64))</f>
        <v>46244</v>
      </c>
      <c r="R64" s="12" t="n">
        <f aca="false">SUMIFS(Sessions!$J:$J,Sessions!$D:$D,$A64)</f>
        <v>1</v>
      </c>
    </row>
    <row r="65" customFormat="false" ht="15" hidden="false" customHeight="false" outlineLevel="0" collapsed="false">
      <c r="A65" s="2" t="s">
        <v>156</v>
      </c>
      <c r="B65" s="2" t="s">
        <v>157</v>
      </c>
      <c r="C65" s="2" t="s">
        <v>62</v>
      </c>
      <c r="D65" s="2" t="s">
        <v>155</v>
      </c>
      <c r="E65" s="12" t="n">
        <v>7</v>
      </c>
      <c r="F65" s="12" t="n">
        <f aca="false">SUMIFS(Sessions!$I:$I,Sessions!$D:$D,$A65)</f>
        <v>4</v>
      </c>
      <c r="G65" s="12" t="n">
        <f aca="false">SUMIFS(Sessions!$I:$I,Sessions!$D:$D,$A65,Sessions!$B:$B,"ChatGPT")</f>
        <v>4</v>
      </c>
      <c r="H65" s="12" t="n">
        <f aca="false">SUMIFS(Sessions!$I:$I,Sessions!$D:$D,$A65,Sessions!$B:$B,"Claude")</f>
        <v>0</v>
      </c>
      <c r="I65" s="12" t="n">
        <f aca="false">SUMIFS(Sessions!$I:$I,Sessions!$D:$D,$A65,Sessions!$B:$B,"Gemini")</f>
        <v>0</v>
      </c>
      <c r="J65" s="12" t="n">
        <f aca="false">SUMIFS(Sessions!$I:$I,Sessions!$D:$D,$A65,Sessions!$B:$B,"Copilot")</f>
        <v>0</v>
      </c>
      <c r="K65" s="14" t="n">
        <f aca="false">IFERROR(F65/E65,"")</f>
        <v>0.571428571428571</v>
      </c>
      <c r="L65" s="15" t="n">
        <f aca="false">IFERROR(J65/E65,"")</f>
        <v>0</v>
      </c>
      <c r="M65" s="14" t="n">
        <f aca="false">IFERROR(E65/$E$106,"")</f>
        <v>0.000760704194740274</v>
      </c>
      <c r="N65" s="14" t="n">
        <f aca="false">IFERROR(F65/$F$106,"")</f>
        <v>0.0090293453724605</v>
      </c>
      <c r="O65" s="2" t="s">
        <v>380</v>
      </c>
      <c r="P65" s="11" t="n">
        <f aca="false">IF(F65=0,"",_xlfn.MINIFS(Sessions!$A:$A,Sessions!$D:$D,$A65))</f>
        <v>46206</v>
      </c>
      <c r="Q65" s="11" t="n">
        <f aca="false">IF(F65=0,"",_xlfn.MAXIFS(Sessions!$A:$A,Sessions!$D:$D,$A65))</f>
        <v>46261</v>
      </c>
      <c r="R65" s="12" t="n">
        <f aca="false">SUMIFS(Sessions!$J:$J,Sessions!$D:$D,$A65)</f>
        <v>4</v>
      </c>
    </row>
    <row r="66" customFormat="false" ht="15" hidden="false" customHeight="false" outlineLevel="0" collapsed="false">
      <c r="A66" s="2" t="s">
        <v>117</v>
      </c>
      <c r="B66" s="2" t="s">
        <v>118</v>
      </c>
      <c r="C66" s="2" t="s">
        <v>94</v>
      </c>
      <c r="D66" s="2" t="s">
        <v>116</v>
      </c>
      <c r="E66" s="12" t="n">
        <v>7</v>
      </c>
      <c r="F66" s="12" t="n">
        <f aca="false">SUMIFS(Sessions!$I:$I,Sessions!$D:$D,$A66)</f>
        <v>2</v>
      </c>
      <c r="G66" s="12" t="n">
        <f aca="false">SUMIFS(Sessions!$I:$I,Sessions!$D:$D,$A66,Sessions!$B:$B,"ChatGPT")</f>
        <v>2</v>
      </c>
      <c r="H66" s="12" t="n">
        <f aca="false">SUMIFS(Sessions!$I:$I,Sessions!$D:$D,$A66,Sessions!$B:$B,"Claude")</f>
        <v>0</v>
      </c>
      <c r="I66" s="12" t="n">
        <f aca="false">SUMIFS(Sessions!$I:$I,Sessions!$D:$D,$A66,Sessions!$B:$B,"Gemini")</f>
        <v>0</v>
      </c>
      <c r="J66" s="12" t="n">
        <f aca="false">SUMIFS(Sessions!$I:$I,Sessions!$D:$D,$A66,Sessions!$B:$B,"Copilot")</f>
        <v>0</v>
      </c>
      <c r="K66" s="14" t="n">
        <f aca="false">IFERROR(F66/E66,"")</f>
        <v>0.285714285714286</v>
      </c>
      <c r="L66" s="15" t="n">
        <f aca="false">IFERROR(J66/E66,"")</f>
        <v>0</v>
      </c>
      <c r="M66" s="14" t="n">
        <f aca="false">IFERROR(E66/$E$106,"")</f>
        <v>0.000760704194740274</v>
      </c>
      <c r="N66" s="14" t="n">
        <f aca="false">IFERROR(F66/$F$106,"")</f>
        <v>0.00451467268623025</v>
      </c>
      <c r="O66" s="2" t="s">
        <v>380</v>
      </c>
      <c r="P66" s="11" t="n">
        <f aca="false">IF(F66=0,"",_xlfn.MINIFS(Sessions!$A:$A,Sessions!$D:$D,$A66))</f>
        <v>46171</v>
      </c>
      <c r="Q66" s="11" t="n">
        <f aca="false">IF(F66=0,"",_xlfn.MAXIFS(Sessions!$A:$A,Sessions!$D:$D,$A66))</f>
        <v>46194</v>
      </c>
      <c r="R66" s="12" t="n">
        <f aca="false">SUMIFS(Sessions!$J:$J,Sessions!$D:$D,$A66)</f>
        <v>2</v>
      </c>
    </row>
    <row r="67" customFormat="false" ht="15" hidden="false" customHeight="false" outlineLevel="0" collapsed="false">
      <c r="A67" s="2" t="s">
        <v>418</v>
      </c>
      <c r="B67" s="2" t="s">
        <v>419</v>
      </c>
      <c r="C67" s="2" t="s">
        <v>94</v>
      </c>
      <c r="D67" s="2"/>
      <c r="E67" s="12" t="n">
        <v>7</v>
      </c>
      <c r="F67" s="12" t="n">
        <f aca="false">SUMIFS(Sessions!$I:$I,Sessions!$D:$D,$A67)</f>
        <v>0</v>
      </c>
      <c r="G67" s="12" t="n">
        <f aca="false">SUMIFS(Sessions!$I:$I,Sessions!$D:$D,$A67,Sessions!$B:$B,"ChatGPT")</f>
        <v>0</v>
      </c>
      <c r="H67" s="12" t="n">
        <f aca="false">SUMIFS(Sessions!$I:$I,Sessions!$D:$D,$A67,Sessions!$B:$B,"Claude")</f>
        <v>0</v>
      </c>
      <c r="I67" s="12" t="n">
        <f aca="false">SUMIFS(Sessions!$I:$I,Sessions!$D:$D,$A67,Sessions!$B:$B,"Gemini")</f>
        <v>0</v>
      </c>
      <c r="J67" s="12" t="n">
        <f aca="false">SUMIFS(Sessions!$I:$I,Sessions!$D:$D,$A67,Sessions!$B:$B,"Copilot")</f>
        <v>0</v>
      </c>
      <c r="K67" s="14" t="n">
        <f aca="false">IFERROR(F67/E67,"")</f>
        <v>0</v>
      </c>
      <c r="L67" s="15" t="n">
        <f aca="false">IFERROR(J67/E67,"")</f>
        <v>0</v>
      </c>
      <c r="M67" s="14" t="n">
        <f aca="false">IFERROR(E67/$E$106,"")</f>
        <v>0.000760704194740274</v>
      </c>
      <c r="N67" s="14" t="n">
        <f aca="false">IFERROR(F67/$F$106,"")</f>
        <v>0</v>
      </c>
      <c r="O67" s="2" t="s">
        <v>383</v>
      </c>
      <c r="P67" s="11" t="str">
        <f aca="false">IF(F67=0,"",_xlfn.MINIFS(Sessions!$A:$A,Sessions!$D:$D,$A67))</f>
        <v/>
      </c>
      <c r="Q67" s="11" t="str">
        <f aca="false">IF(F67=0,"",_xlfn.MAXIFS(Sessions!$A:$A,Sessions!$D:$D,$A67))</f>
        <v/>
      </c>
      <c r="R67" s="12" t="n">
        <f aca="false">SUMIFS(Sessions!$J:$J,Sessions!$D:$D,$A67)</f>
        <v>0</v>
      </c>
    </row>
    <row r="68" customFormat="false" ht="15" hidden="false" customHeight="false" outlineLevel="0" collapsed="false">
      <c r="A68" s="2" t="s">
        <v>420</v>
      </c>
      <c r="B68" s="2" t="s">
        <v>421</v>
      </c>
      <c r="C68" s="2" t="s">
        <v>62</v>
      </c>
      <c r="D68" s="2"/>
      <c r="E68" s="12" t="n">
        <v>7</v>
      </c>
      <c r="F68" s="12" t="n">
        <f aca="false">SUMIFS(Sessions!$I:$I,Sessions!$D:$D,$A68)</f>
        <v>0</v>
      </c>
      <c r="G68" s="12" t="n">
        <f aca="false">SUMIFS(Sessions!$I:$I,Sessions!$D:$D,$A68,Sessions!$B:$B,"ChatGPT")</f>
        <v>0</v>
      </c>
      <c r="H68" s="12" t="n">
        <f aca="false">SUMIFS(Sessions!$I:$I,Sessions!$D:$D,$A68,Sessions!$B:$B,"Claude")</f>
        <v>0</v>
      </c>
      <c r="I68" s="12" t="n">
        <f aca="false">SUMIFS(Sessions!$I:$I,Sessions!$D:$D,$A68,Sessions!$B:$B,"Gemini")</f>
        <v>0</v>
      </c>
      <c r="J68" s="12" t="n">
        <f aca="false">SUMIFS(Sessions!$I:$I,Sessions!$D:$D,$A68,Sessions!$B:$B,"Copilot")</f>
        <v>0</v>
      </c>
      <c r="K68" s="14" t="n">
        <f aca="false">IFERROR(F68/E68,"")</f>
        <v>0</v>
      </c>
      <c r="L68" s="15" t="n">
        <f aca="false">IFERROR(J68/E68,"")</f>
        <v>0</v>
      </c>
      <c r="M68" s="14" t="n">
        <f aca="false">IFERROR(E68/$E$106,"")</f>
        <v>0.000760704194740274</v>
      </c>
      <c r="N68" s="14" t="n">
        <f aca="false">IFERROR(F68/$F$106,"")</f>
        <v>0</v>
      </c>
      <c r="O68" s="2" t="s">
        <v>383</v>
      </c>
      <c r="P68" s="11" t="str">
        <f aca="false">IF(F68=0,"",_xlfn.MINIFS(Sessions!$A:$A,Sessions!$D:$D,$A68))</f>
        <v/>
      </c>
      <c r="Q68" s="11" t="str">
        <f aca="false">IF(F68=0,"",_xlfn.MAXIFS(Sessions!$A:$A,Sessions!$D:$D,$A68))</f>
        <v/>
      </c>
      <c r="R68" s="12" t="n">
        <f aca="false">SUMIFS(Sessions!$J:$J,Sessions!$D:$D,$A68)</f>
        <v>0</v>
      </c>
    </row>
    <row r="69" customFormat="false" ht="15" hidden="false" customHeight="false" outlineLevel="0" collapsed="false">
      <c r="A69" s="2" t="s">
        <v>133</v>
      </c>
      <c r="B69" s="2" t="s">
        <v>134</v>
      </c>
      <c r="C69" s="2" t="s">
        <v>135</v>
      </c>
      <c r="D69" s="2" t="s">
        <v>132</v>
      </c>
      <c r="E69" s="12" t="n">
        <v>6</v>
      </c>
      <c r="F69" s="12" t="n">
        <f aca="false">SUMIFS(Sessions!$I:$I,Sessions!$D:$D,$A69)</f>
        <v>3</v>
      </c>
      <c r="G69" s="12" t="n">
        <f aca="false">SUMIFS(Sessions!$I:$I,Sessions!$D:$D,$A69,Sessions!$B:$B,"ChatGPT")</f>
        <v>2</v>
      </c>
      <c r="H69" s="12" t="n">
        <f aca="false">SUMIFS(Sessions!$I:$I,Sessions!$D:$D,$A69,Sessions!$B:$B,"Claude")</f>
        <v>0</v>
      </c>
      <c r="I69" s="12" t="n">
        <f aca="false">SUMIFS(Sessions!$I:$I,Sessions!$D:$D,$A69,Sessions!$B:$B,"Gemini")</f>
        <v>1</v>
      </c>
      <c r="J69" s="12" t="n">
        <f aca="false">SUMIFS(Sessions!$I:$I,Sessions!$D:$D,$A69,Sessions!$B:$B,"Copilot")</f>
        <v>0</v>
      </c>
      <c r="K69" s="14" t="n">
        <f aca="false">IFERROR(F69/E69,"")</f>
        <v>0.5</v>
      </c>
      <c r="L69" s="15" t="n">
        <f aca="false">IFERROR(J69/E69,"")</f>
        <v>0</v>
      </c>
      <c r="M69" s="14" t="n">
        <f aca="false">IFERROR(E69/$E$106,"")</f>
        <v>0.000652032166920235</v>
      </c>
      <c r="N69" s="14" t="n">
        <f aca="false">IFERROR(F69/$F$106,"")</f>
        <v>0.00677200902934537</v>
      </c>
      <c r="O69" s="2" t="s">
        <v>380</v>
      </c>
      <c r="P69" s="11" t="n">
        <f aca="false">IF(F69=0,"",_xlfn.MINIFS(Sessions!$A:$A,Sessions!$D:$D,$A69))</f>
        <v>46182</v>
      </c>
      <c r="Q69" s="11" t="n">
        <f aca="false">IF(F69=0,"",_xlfn.MAXIFS(Sessions!$A:$A,Sessions!$D:$D,$A69))</f>
        <v>46225</v>
      </c>
      <c r="R69" s="12" t="n">
        <f aca="false">SUMIFS(Sessions!$J:$J,Sessions!$D:$D,$A69)</f>
        <v>2</v>
      </c>
    </row>
    <row r="70" customFormat="false" ht="15" hidden="false" customHeight="false" outlineLevel="0" collapsed="false">
      <c r="A70" s="2" t="s">
        <v>257</v>
      </c>
      <c r="B70" s="2" t="s">
        <v>258</v>
      </c>
      <c r="C70" s="2" t="s">
        <v>62</v>
      </c>
      <c r="D70" s="2" t="s">
        <v>256</v>
      </c>
      <c r="E70" s="12" t="n">
        <v>6</v>
      </c>
      <c r="F70" s="12" t="n">
        <f aca="false">SUMIFS(Sessions!$I:$I,Sessions!$D:$D,$A70)</f>
        <v>1</v>
      </c>
      <c r="G70" s="12" t="n">
        <f aca="false">SUMIFS(Sessions!$I:$I,Sessions!$D:$D,$A70,Sessions!$B:$B,"ChatGPT")</f>
        <v>1</v>
      </c>
      <c r="H70" s="12" t="n">
        <f aca="false">SUMIFS(Sessions!$I:$I,Sessions!$D:$D,$A70,Sessions!$B:$B,"Claude")</f>
        <v>0</v>
      </c>
      <c r="I70" s="12" t="n">
        <f aca="false">SUMIFS(Sessions!$I:$I,Sessions!$D:$D,$A70,Sessions!$B:$B,"Gemini")</f>
        <v>0</v>
      </c>
      <c r="J70" s="12" t="n">
        <f aca="false">SUMIFS(Sessions!$I:$I,Sessions!$D:$D,$A70,Sessions!$B:$B,"Copilot")</f>
        <v>0</v>
      </c>
      <c r="K70" s="14" t="n">
        <f aca="false">IFERROR(F70/E70,"")</f>
        <v>0.166666666666667</v>
      </c>
      <c r="L70" s="15" t="n">
        <f aca="false">IFERROR(J70/E70,"")</f>
        <v>0</v>
      </c>
      <c r="M70" s="14" t="n">
        <f aca="false">IFERROR(E70/$E$106,"")</f>
        <v>0.000652032166920235</v>
      </c>
      <c r="N70" s="14" t="n">
        <f aca="false">IFERROR(F70/$F$106,"")</f>
        <v>0.00225733634311512</v>
      </c>
      <c r="O70" s="2" t="s">
        <v>380</v>
      </c>
      <c r="P70" s="11" t="n">
        <f aca="false">IF(F70=0,"",_xlfn.MINIFS(Sessions!$A:$A,Sessions!$D:$D,$A70))</f>
        <v>46248</v>
      </c>
      <c r="Q70" s="11" t="n">
        <f aca="false">IF(F70=0,"",_xlfn.MAXIFS(Sessions!$A:$A,Sessions!$D:$D,$A70))</f>
        <v>46248</v>
      </c>
      <c r="R70" s="12" t="n">
        <f aca="false">SUMIFS(Sessions!$J:$J,Sessions!$D:$D,$A70)</f>
        <v>1</v>
      </c>
    </row>
    <row r="71" customFormat="false" ht="15" hidden="false" customHeight="false" outlineLevel="0" collapsed="false">
      <c r="A71" s="2" t="s">
        <v>422</v>
      </c>
      <c r="B71" s="2" t="s">
        <v>423</v>
      </c>
      <c r="C71" s="2" t="s">
        <v>62</v>
      </c>
      <c r="D71" s="2"/>
      <c r="E71" s="12" t="n">
        <v>6</v>
      </c>
      <c r="F71" s="12" t="n">
        <f aca="false">SUMIFS(Sessions!$I:$I,Sessions!$D:$D,$A71)</f>
        <v>0</v>
      </c>
      <c r="G71" s="12" t="n">
        <f aca="false">SUMIFS(Sessions!$I:$I,Sessions!$D:$D,$A71,Sessions!$B:$B,"ChatGPT")</f>
        <v>0</v>
      </c>
      <c r="H71" s="12" t="n">
        <f aca="false">SUMIFS(Sessions!$I:$I,Sessions!$D:$D,$A71,Sessions!$B:$B,"Claude")</f>
        <v>0</v>
      </c>
      <c r="I71" s="12" t="n">
        <f aca="false">SUMIFS(Sessions!$I:$I,Sessions!$D:$D,$A71,Sessions!$B:$B,"Gemini")</f>
        <v>0</v>
      </c>
      <c r="J71" s="12" t="n">
        <f aca="false">SUMIFS(Sessions!$I:$I,Sessions!$D:$D,$A71,Sessions!$B:$B,"Copilot")</f>
        <v>0</v>
      </c>
      <c r="K71" s="14" t="n">
        <f aca="false">IFERROR(F71/E71,"")</f>
        <v>0</v>
      </c>
      <c r="L71" s="15" t="n">
        <f aca="false">IFERROR(J71/E71,"")</f>
        <v>0</v>
      </c>
      <c r="M71" s="14" t="n">
        <f aca="false">IFERROR(E71/$E$106,"")</f>
        <v>0.000652032166920235</v>
      </c>
      <c r="N71" s="14" t="n">
        <f aca="false">IFERROR(F71/$F$106,"")</f>
        <v>0</v>
      </c>
      <c r="O71" s="2" t="s">
        <v>383</v>
      </c>
      <c r="P71" s="11" t="str">
        <f aca="false">IF(F71=0,"",_xlfn.MINIFS(Sessions!$A:$A,Sessions!$D:$D,$A71))</f>
        <v/>
      </c>
      <c r="Q71" s="11" t="str">
        <f aca="false">IF(F71=0,"",_xlfn.MAXIFS(Sessions!$A:$A,Sessions!$D:$D,$A71))</f>
        <v/>
      </c>
      <c r="R71" s="12" t="n">
        <f aca="false">SUMIFS(Sessions!$J:$J,Sessions!$D:$D,$A71)</f>
        <v>0</v>
      </c>
    </row>
    <row r="72" customFormat="false" ht="15" hidden="false" customHeight="false" outlineLevel="0" collapsed="false">
      <c r="A72" s="2" t="s">
        <v>350</v>
      </c>
      <c r="B72" s="2" t="s">
        <v>351</v>
      </c>
      <c r="C72" s="2" t="s">
        <v>62</v>
      </c>
      <c r="D72" s="2" t="s">
        <v>349</v>
      </c>
      <c r="E72" s="12" t="n">
        <v>5</v>
      </c>
      <c r="F72" s="12" t="n">
        <f aca="false">SUMIFS(Sessions!$I:$I,Sessions!$D:$D,$A72)</f>
        <v>1</v>
      </c>
      <c r="G72" s="12" t="n">
        <f aca="false">SUMIFS(Sessions!$I:$I,Sessions!$D:$D,$A72,Sessions!$B:$B,"ChatGPT")</f>
        <v>1</v>
      </c>
      <c r="H72" s="12" t="n">
        <f aca="false">SUMIFS(Sessions!$I:$I,Sessions!$D:$D,$A72,Sessions!$B:$B,"Claude")</f>
        <v>0</v>
      </c>
      <c r="I72" s="12" t="n">
        <f aca="false">SUMIFS(Sessions!$I:$I,Sessions!$D:$D,$A72,Sessions!$B:$B,"Gemini")</f>
        <v>0</v>
      </c>
      <c r="J72" s="12" t="n">
        <f aca="false">SUMIFS(Sessions!$I:$I,Sessions!$D:$D,$A72,Sessions!$B:$B,"Copilot")</f>
        <v>0</v>
      </c>
      <c r="K72" s="14" t="n">
        <f aca="false">IFERROR(F72/E72,"")</f>
        <v>0.2</v>
      </c>
      <c r="L72" s="15" t="n">
        <f aca="false">IFERROR(J72/E72,"")</f>
        <v>0</v>
      </c>
      <c r="M72" s="14" t="n">
        <f aca="false">IFERROR(E72/$E$106,"")</f>
        <v>0.000543360139100196</v>
      </c>
      <c r="N72" s="14" t="n">
        <f aca="false">IFERROR(F72/$F$106,"")</f>
        <v>0.00225733634311512</v>
      </c>
      <c r="O72" s="2" t="s">
        <v>380</v>
      </c>
      <c r="P72" s="11" t="n">
        <f aca="false">IF(F72=0,"",_xlfn.MINIFS(Sessions!$A:$A,Sessions!$D:$D,$A72))</f>
        <v>46268</v>
      </c>
      <c r="Q72" s="11" t="n">
        <f aca="false">IF(F72=0,"",_xlfn.MAXIFS(Sessions!$A:$A,Sessions!$D:$D,$A72))</f>
        <v>46268</v>
      </c>
      <c r="R72" s="12" t="n">
        <f aca="false">SUMIFS(Sessions!$J:$J,Sessions!$D:$D,$A72)</f>
        <v>1</v>
      </c>
    </row>
    <row r="73" customFormat="false" ht="15" hidden="false" customHeight="false" outlineLevel="0" collapsed="false">
      <c r="A73" s="2" t="s">
        <v>366</v>
      </c>
      <c r="B73" s="2" t="s">
        <v>367</v>
      </c>
      <c r="C73" s="2" t="s">
        <v>62</v>
      </c>
      <c r="D73" s="2" t="s">
        <v>365</v>
      </c>
      <c r="E73" s="12" t="n">
        <v>5</v>
      </c>
      <c r="F73" s="12" t="n">
        <f aca="false">SUMIFS(Sessions!$I:$I,Sessions!$D:$D,$A73)</f>
        <v>1</v>
      </c>
      <c r="G73" s="12" t="n">
        <f aca="false">SUMIFS(Sessions!$I:$I,Sessions!$D:$D,$A73,Sessions!$B:$B,"ChatGPT")</f>
        <v>1</v>
      </c>
      <c r="H73" s="12" t="n">
        <f aca="false">SUMIFS(Sessions!$I:$I,Sessions!$D:$D,$A73,Sessions!$B:$B,"Claude")</f>
        <v>0</v>
      </c>
      <c r="I73" s="12" t="n">
        <f aca="false">SUMIFS(Sessions!$I:$I,Sessions!$D:$D,$A73,Sessions!$B:$B,"Gemini")</f>
        <v>0</v>
      </c>
      <c r="J73" s="12" t="n">
        <f aca="false">SUMIFS(Sessions!$I:$I,Sessions!$D:$D,$A73,Sessions!$B:$B,"Copilot")</f>
        <v>0</v>
      </c>
      <c r="K73" s="14" t="n">
        <f aca="false">IFERROR(F73/E73,"")</f>
        <v>0.2</v>
      </c>
      <c r="L73" s="15" t="n">
        <f aca="false">IFERROR(J73/E73,"")</f>
        <v>0</v>
      </c>
      <c r="M73" s="14" t="n">
        <f aca="false">IFERROR(E73/$E$106,"")</f>
        <v>0.000543360139100196</v>
      </c>
      <c r="N73" s="14" t="n">
        <f aca="false">IFERROR(F73/$F$106,"")</f>
        <v>0.00225733634311512</v>
      </c>
      <c r="O73" s="2" t="s">
        <v>380</v>
      </c>
      <c r="P73" s="11" t="n">
        <f aca="false">IF(F73=0,"",_xlfn.MINIFS(Sessions!$A:$A,Sessions!$D:$D,$A73))</f>
        <v>46275</v>
      </c>
      <c r="Q73" s="11" t="n">
        <f aca="false">IF(F73=0,"",_xlfn.MAXIFS(Sessions!$A:$A,Sessions!$D:$D,$A73))</f>
        <v>46275</v>
      </c>
      <c r="R73" s="12" t="n">
        <f aca="false">SUMIFS(Sessions!$J:$J,Sessions!$D:$D,$A73)</f>
        <v>1</v>
      </c>
    </row>
    <row r="74" customFormat="false" ht="15" hidden="false" customHeight="false" outlineLevel="0" collapsed="false">
      <c r="A74" s="2" t="s">
        <v>274</v>
      </c>
      <c r="B74" s="2" t="s">
        <v>275</v>
      </c>
      <c r="C74" s="2" t="s">
        <v>62</v>
      </c>
      <c r="D74" s="2" t="s">
        <v>273</v>
      </c>
      <c r="E74" s="12" t="n">
        <v>5</v>
      </c>
      <c r="F74" s="12" t="n">
        <f aca="false">SUMIFS(Sessions!$I:$I,Sessions!$D:$D,$A74)</f>
        <v>1</v>
      </c>
      <c r="G74" s="12" t="n">
        <f aca="false">SUMIFS(Sessions!$I:$I,Sessions!$D:$D,$A74,Sessions!$B:$B,"ChatGPT")</f>
        <v>1</v>
      </c>
      <c r="H74" s="12" t="n">
        <f aca="false">SUMIFS(Sessions!$I:$I,Sessions!$D:$D,$A74,Sessions!$B:$B,"Claude")</f>
        <v>0</v>
      </c>
      <c r="I74" s="12" t="n">
        <f aca="false">SUMIFS(Sessions!$I:$I,Sessions!$D:$D,$A74,Sessions!$B:$B,"Gemini")</f>
        <v>0</v>
      </c>
      <c r="J74" s="12" t="n">
        <f aca="false">SUMIFS(Sessions!$I:$I,Sessions!$D:$D,$A74,Sessions!$B:$B,"Copilot")</f>
        <v>0</v>
      </c>
      <c r="K74" s="14" t="n">
        <f aca="false">IFERROR(F74/E74,"")</f>
        <v>0.2</v>
      </c>
      <c r="L74" s="15" t="n">
        <f aca="false">IFERROR(J74/E74,"")</f>
        <v>0</v>
      </c>
      <c r="M74" s="14" t="n">
        <f aca="false">IFERROR(E74/$E$106,"")</f>
        <v>0.000543360139100196</v>
      </c>
      <c r="N74" s="14" t="n">
        <f aca="false">IFERROR(F74/$F$106,"")</f>
        <v>0.00225733634311512</v>
      </c>
      <c r="O74" s="2" t="s">
        <v>380</v>
      </c>
      <c r="P74" s="11" t="n">
        <f aca="false">IF(F74=0,"",_xlfn.MINIFS(Sessions!$A:$A,Sessions!$D:$D,$A74))</f>
        <v>46250</v>
      </c>
      <c r="Q74" s="11" t="n">
        <f aca="false">IF(F74=0,"",_xlfn.MAXIFS(Sessions!$A:$A,Sessions!$D:$D,$A74))</f>
        <v>46250</v>
      </c>
      <c r="R74" s="12" t="n">
        <f aca="false">SUMIFS(Sessions!$J:$J,Sessions!$D:$D,$A74)</f>
        <v>1</v>
      </c>
    </row>
    <row r="75" customFormat="false" ht="15" hidden="false" customHeight="false" outlineLevel="0" collapsed="false">
      <c r="A75" s="2" t="s">
        <v>175</v>
      </c>
      <c r="B75" s="2" t="s">
        <v>176</v>
      </c>
      <c r="C75" s="2" t="s">
        <v>62</v>
      </c>
      <c r="D75" s="2" t="s">
        <v>174</v>
      </c>
      <c r="E75" s="12" t="n">
        <v>4</v>
      </c>
      <c r="F75" s="12" t="n">
        <f aca="false">SUMIFS(Sessions!$I:$I,Sessions!$D:$D,$A75)</f>
        <v>3</v>
      </c>
      <c r="G75" s="12" t="n">
        <f aca="false">SUMIFS(Sessions!$I:$I,Sessions!$D:$D,$A75,Sessions!$B:$B,"ChatGPT")</f>
        <v>3</v>
      </c>
      <c r="H75" s="12" t="n">
        <f aca="false">SUMIFS(Sessions!$I:$I,Sessions!$D:$D,$A75,Sessions!$B:$B,"Claude")</f>
        <v>0</v>
      </c>
      <c r="I75" s="12" t="n">
        <f aca="false">SUMIFS(Sessions!$I:$I,Sessions!$D:$D,$A75,Sessions!$B:$B,"Gemini")</f>
        <v>0</v>
      </c>
      <c r="J75" s="12" t="n">
        <f aca="false">SUMIFS(Sessions!$I:$I,Sessions!$D:$D,$A75,Sessions!$B:$B,"Copilot")</f>
        <v>0</v>
      </c>
      <c r="K75" s="14" t="n">
        <f aca="false">IFERROR(F75/E75,"")</f>
        <v>0.75</v>
      </c>
      <c r="L75" s="15" t="n">
        <f aca="false">IFERROR(J75/E75,"")</f>
        <v>0</v>
      </c>
      <c r="M75" s="14" t="n">
        <f aca="false">IFERROR(E75/$E$106,"")</f>
        <v>0.000434688111280157</v>
      </c>
      <c r="N75" s="14" t="n">
        <f aca="false">IFERROR(F75/$F$106,"")</f>
        <v>0.00677200902934537</v>
      </c>
      <c r="O75" s="2" t="s">
        <v>380</v>
      </c>
      <c r="P75" s="11" t="n">
        <f aca="false">IF(F75=0,"",_xlfn.MINIFS(Sessions!$A:$A,Sessions!$D:$D,$A75))</f>
        <v>46221</v>
      </c>
      <c r="Q75" s="11" t="n">
        <f aca="false">IF(F75=0,"",_xlfn.MAXIFS(Sessions!$A:$A,Sessions!$D:$D,$A75))</f>
        <v>46274</v>
      </c>
      <c r="R75" s="12" t="n">
        <f aca="false">SUMIFS(Sessions!$J:$J,Sessions!$D:$D,$A75)</f>
        <v>3</v>
      </c>
    </row>
    <row r="76" customFormat="false" ht="15" hidden="false" customHeight="false" outlineLevel="0" collapsed="false">
      <c r="A76" s="2" t="s">
        <v>189</v>
      </c>
      <c r="B76" s="2" t="s">
        <v>190</v>
      </c>
      <c r="C76" s="2" t="s">
        <v>62</v>
      </c>
      <c r="D76" s="2" t="s">
        <v>188</v>
      </c>
      <c r="E76" s="12" t="n">
        <v>4</v>
      </c>
      <c r="F76" s="12" t="n">
        <f aca="false">SUMIFS(Sessions!$I:$I,Sessions!$D:$D,$A76)</f>
        <v>1</v>
      </c>
      <c r="G76" s="12" t="n">
        <f aca="false">SUMIFS(Sessions!$I:$I,Sessions!$D:$D,$A76,Sessions!$B:$B,"ChatGPT")</f>
        <v>1</v>
      </c>
      <c r="H76" s="12" t="n">
        <f aca="false">SUMIFS(Sessions!$I:$I,Sessions!$D:$D,$A76,Sessions!$B:$B,"Claude")</f>
        <v>0</v>
      </c>
      <c r="I76" s="12" t="n">
        <f aca="false">SUMIFS(Sessions!$I:$I,Sessions!$D:$D,$A76,Sessions!$B:$B,"Gemini")</f>
        <v>0</v>
      </c>
      <c r="J76" s="12" t="n">
        <f aca="false">SUMIFS(Sessions!$I:$I,Sessions!$D:$D,$A76,Sessions!$B:$B,"Copilot")</f>
        <v>0</v>
      </c>
      <c r="K76" s="14" t="n">
        <f aca="false">IFERROR(F76/E76,"")</f>
        <v>0.25</v>
      </c>
      <c r="L76" s="15" t="n">
        <f aca="false">IFERROR(J76/E76,"")</f>
        <v>0</v>
      </c>
      <c r="M76" s="14" t="n">
        <f aca="false">IFERROR(E76/$E$106,"")</f>
        <v>0.000434688111280157</v>
      </c>
      <c r="N76" s="14" t="n">
        <f aca="false">IFERROR(F76/$F$106,"")</f>
        <v>0.00225733634311512</v>
      </c>
      <c r="O76" s="2" t="s">
        <v>380</v>
      </c>
      <c r="P76" s="11" t="n">
        <f aca="false">IF(F76=0,"",_xlfn.MINIFS(Sessions!$A:$A,Sessions!$D:$D,$A76))</f>
        <v>46226</v>
      </c>
      <c r="Q76" s="11" t="n">
        <f aca="false">IF(F76=0,"",_xlfn.MAXIFS(Sessions!$A:$A,Sessions!$D:$D,$A76))</f>
        <v>46226</v>
      </c>
      <c r="R76" s="12" t="n">
        <f aca="false">SUMIFS(Sessions!$J:$J,Sessions!$D:$D,$A76)</f>
        <v>1</v>
      </c>
    </row>
    <row r="77" customFormat="false" ht="15" hidden="false" customHeight="false" outlineLevel="0" collapsed="false">
      <c r="A77" s="2" t="s">
        <v>424</v>
      </c>
      <c r="B77" s="2" t="s">
        <v>425</v>
      </c>
      <c r="C77" s="2" t="s">
        <v>62</v>
      </c>
      <c r="D77" s="2"/>
      <c r="E77" s="12" t="n">
        <v>4</v>
      </c>
      <c r="F77" s="12" t="n">
        <f aca="false">SUMIFS(Sessions!$I:$I,Sessions!$D:$D,$A77)</f>
        <v>0</v>
      </c>
      <c r="G77" s="12" t="n">
        <f aca="false">SUMIFS(Sessions!$I:$I,Sessions!$D:$D,$A77,Sessions!$B:$B,"ChatGPT")</f>
        <v>0</v>
      </c>
      <c r="H77" s="12" t="n">
        <f aca="false">SUMIFS(Sessions!$I:$I,Sessions!$D:$D,$A77,Sessions!$B:$B,"Claude")</f>
        <v>0</v>
      </c>
      <c r="I77" s="12" t="n">
        <f aca="false">SUMIFS(Sessions!$I:$I,Sessions!$D:$D,$A77,Sessions!$B:$B,"Gemini")</f>
        <v>0</v>
      </c>
      <c r="J77" s="12" t="n">
        <f aca="false">SUMIFS(Sessions!$I:$I,Sessions!$D:$D,$A77,Sessions!$B:$B,"Copilot")</f>
        <v>0</v>
      </c>
      <c r="K77" s="14" t="n">
        <f aca="false">IFERROR(F77/E77,"")</f>
        <v>0</v>
      </c>
      <c r="L77" s="15" t="n">
        <f aca="false">IFERROR(J77/E77,"")</f>
        <v>0</v>
      </c>
      <c r="M77" s="14" t="n">
        <f aca="false">IFERROR(E77/$E$106,"")</f>
        <v>0.000434688111280157</v>
      </c>
      <c r="N77" s="14" t="n">
        <f aca="false">IFERROR(F77/$F$106,"")</f>
        <v>0</v>
      </c>
      <c r="O77" s="2" t="s">
        <v>383</v>
      </c>
      <c r="P77" s="11" t="str">
        <f aca="false">IF(F77=0,"",_xlfn.MINIFS(Sessions!$A:$A,Sessions!$D:$D,$A77))</f>
        <v/>
      </c>
      <c r="Q77" s="11" t="str">
        <f aca="false">IF(F77=0,"",_xlfn.MAXIFS(Sessions!$A:$A,Sessions!$D:$D,$A77))</f>
        <v/>
      </c>
      <c r="R77" s="12" t="n">
        <f aca="false">SUMIFS(Sessions!$J:$J,Sessions!$D:$D,$A77)</f>
        <v>0</v>
      </c>
    </row>
    <row r="78" customFormat="false" ht="15" hidden="false" customHeight="false" outlineLevel="0" collapsed="false">
      <c r="A78" s="2" t="s">
        <v>270</v>
      </c>
      <c r="B78" s="2" t="s">
        <v>271</v>
      </c>
      <c r="C78" s="2" t="s">
        <v>62</v>
      </c>
      <c r="D78" s="2" t="s">
        <v>269</v>
      </c>
      <c r="E78" s="12" t="n">
        <v>3</v>
      </c>
      <c r="F78" s="12" t="n">
        <f aca="false">SUMIFS(Sessions!$I:$I,Sessions!$D:$D,$A78)</f>
        <v>2</v>
      </c>
      <c r="G78" s="12" t="n">
        <f aca="false">SUMIFS(Sessions!$I:$I,Sessions!$D:$D,$A78,Sessions!$B:$B,"ChatGPT")</f>
        <v>2</v>
      </c>
      <c r="H78" s="12" t="n">
        <f aca="false">SUMIFS(Sessions!$I:$I,Sessions!$D:$D,$A78,Sessions!$B:$B,"Claude")</f>
        <v>0</v>
      </c>
      <c r="I78" s="12" t="n">
        <f aca="false">SUMIFS(Sessions!$I:$I,Sessions!$D:$D,$A78,Sessions!$B:$B,"Gemini")</f>
        <v>0</v>
      </c>
      <c r="J78" s="12" t="n">
        <f aca="false">SUMIFS(Sessions!$I:$I,Sessions!$D:$D,$A78,Sessions!$B:$B,"Copilot")</f>
        <v>0</v>
      </c>
      <c r="K78" s="14" t="n">
        <f aca="false">IFERROR(F78/E78,"")</f>
        <v>0.666666666666667</v>
      </c>
      <c r="L78" s="15" t="n">
        <f aca="false">IFERROR(J78/E78,"")</f>
        <v>0</v>
      </c>
      <c r="M78" s="14" t="n">
        <f aca="false">IFERROR(E78/$E$106,"")</f>
        <v>0.000326016083460117</v>
      </c>
      <c r="N78" s="14" t="n">
        <f aca="false">IFERROR(F78/$F$106,"")</f>
        <v>0.00451467268623025</v>
      </c>
      <c r="O78" s="2" t="s">
        <v>380</v>
      </c>
      <c r="P78" s="11" t="n">
        <f aca="false">IF(F78=0,"",_xlfn.MINIFS(Sessions!$A:$A,Sessions!$D:$D,$A78))</f>
        <v>46250</v>
      </c>
      <c r="Q78" s="11" t="n">
        <f aca="false">IF(F78=0,"",_xlfn.MAXIFS(Sessions!$A:$A,Sessions!$D:$D,$A78))</f>
        <v>46255</v>
      </c>
      <c r="R78" s="12" t="n">
        <f aca="false">SUMIFS(Sessions!$J:$J,Sessions!$D:$D,$A78)</f>
        <v>2</v>
      </c>
    </row>
    <row r="79" customFormat="false" ht="15" hidden="false" customHeight="false" outlineLevel="0" collapsed="false">
      <c r="A79" s="2" t="s">
        <v>426</v>
      </c>
      <c r="B79" s="2" t="s">
        <v>427</v>
      </c>
      <c r="C79" s="2" t="s">
        <v>62</v>
      </c>
      <c r="D79" s="2"/>
      <c r="E79" s="12" t="n">
        <v>3</v>
      </c>
      <c r="F79" s="12" t="n">
        <f aca="false">SUMIFS(Sessions!$I:$I,Sessions!$D:$D,$A79)</f>
        <v>0</v>
      </c>
      <c r="G79" s="12" t="n">
        <f aca="false">SUMIFS(Sessions!$I:$I,Sessions!$D:$D,$A79,Sessions!$B:$B,"ChatGPT")</f>
        <v>0</v>
      </c>
      <c r="H79" s="12" t="n">
        <f aca="false">SUMIFS(Sessions!$I:$I,Sessions!$D:$D,$A79,Sessions!$B:$B,"Claude")</f>
        <v>0</v>
      </c>
      <c r="I79" s="12" t="n">
        <f aca="false">SUMIFS(Sessions!$I:$I,Sessions!$D:$D,$A79,Sessions!$B:$B,"Gemini")</f>
        <v>0</v>
      </c>
      <c r="J79" s="12" t="n">
        <f aca="false">SUMIFS(Sessions!$I:$I,Sessions!$D:$D,$A79,Sessions!$B:$B,"Copilot")</f>
        <v>0</v>
      </c>
      <c r="K79" s="14" t="n">
        <f aca="false">IFERROR(F79/E79,"")</f>
        <v>0</v>
      </c>
      <c r="L79" s="15" t="n">
        <f aca="false">IFERROR(J79/E79,"")</f>
        <v>0</v>
      </c>
      <c r="M79" s="14" t="n">
        <f aca="false">IFERROR(E79/$E$106,"")</f>
        <v>0.000326016083460117</v>
      </c>
      <c r="N79" s="14" t="n">
        <f aca="false">IFERROR(F79/$F$106,"")</f>
        <v>0</v>
      </c>
      <c r="O79" s="2" t="s">
        <v>383</v>
      </c>
      <c r="P79" s="11" t="str">
        <f aca="false">IF(F79=0,"",_xlfn.MINIFS(Sessions!$A:$A,Sessions!$D:$D,$A79))</f>
        <v/>
      </c>
      <c r="Q79" s="11" t="str">
        <f aca="false">IF(F79=0,"",_xlfn.MAXIFS(Sessions!$A:$A,Sessions!$D:$D,$A79))</f>
        <v/>
      </c>
      <c r="R79" s="12" t="n">
        <f aca="false">SUMIFS(Sessions!$J:$J,Sessions!$D:$D,$A79)</f>
        <v>0</v>
      </c>
    </row>
    <row r="80" customFormat="false" ht="15" hidden="false" customHeight="false" outlineLevel="0" collapsed="false">
      <c r="A80" s="2" t="s">
        <v>428</v>
      </c>
      <c r="B80" s="2" t="s">
        <v>429</v>
      </c>
      <c r="C80" s="2" t="s">
        <v>62</v>
      </c>
      <c r="D80" s="2"/>
      <c r="E80" s="12" t="n">
        <v>3</v>
      </c>
      <c r="F80" s="12" t="n">
        <f aca="false">SUMIFS(Sessions!$I:$I,Sessions!$D:$D,$A80)</f>
        <v>0</v>
      </c>
      <c r="G80" s="12" t="n">
        <f aca="false">SUMIFS(Sessions!$I:$I,Sessions!$D:$D,$A80,Sessions!$B:$B,"ChatGPT")</f>
        <v>0</v>
      </c>
      <c r="H80" s="12" t="n">
        <f aca="false">SUMIFS(Sessions!$I:$I,Sessions!$D:$D,$A80,Sessions!$B:$B,"Claude")</f>
        <v>0</v>
      </c>
      <c r="I80" s="12" t="n">
        <f aca="false">SUMIFS(Sessions!$I:$I,Sessions!$D:$D,$A80,Sessions!$B:$B,"Gemini")</f>
        <v>0</v>
      </c>
      <c r="J80" s="12" t="n">
        <f aca="false">SUMIFS(Sessions!$I:$I,Sessions!$D:$D,$A80,Sessions!$B:$B,"Copilot")</f>
        <v>0</v>
      </c>
      <c r="K80" s="14" t="n">
        <f aca="false">IFERROR(F80/E80,"")</f>
        <v>0</v>
      </c>
      <c r="L80" s="15" t="n">
        <f aca="false">IFERROR(J80/E80,"")</f>
        <v>0</v>
      </c>
      <c r="M80" s="14" t="n">
        <f aca="false">IFERROR(E80/$E$106,"")</f>
        <v>0.000326016083460117</v>
      </c>
      <c r="N80" s="14" t="n">
        <f aca="false">IFERROR(F80/$F$106,"")</f>
        <v>0</v>
      </c>
      <c r="O80" s="2" t="s">
        <v>383</v>
      </c>
      <c r="P80" s="11" t="str">
        <f aca="false">IF(F80=0,"",_xlfn.MINIFS(Sessions!$A:$A,Sessions!$D:$D,$A80))</f>
        <v/>
      </c>
      <c r="Q80" s="11" t="str">
        <f aca="false">IF(F80=0,"",_xlfn.MAXIFS(Sessions!$A:$A,Sessions!$D:$D,$A80))</f>
        <v/>
      </c>
      <c r="R80" s="12" t="n">
        <f aca="false">SUMIFS(Sessions!$J:$J,Sessions!$D:$D,$A80)</f>
        <v>0</v>
      </c>
    </row>
    <row r="81" customFormat="false" ht="15" hidden="false" customHeight="false" outlineLevel="0" collapsed="false">
      <c r="A81" s="2" t="s">
        <v>181</v>
      </c>
      <c r="B81" s="2" t="s">
        <v>182</v>
      </c>
      <c r="C81" s="2" t="s">
        <v>62</v>
      </c>
      <c r="D81" s="2" t="s">
        <v>180</v>
      </c>
      <c r="E81" s="12" t="n">
        <v>2</v>
      </c>
      <c r="F81" s="12" t="n">
        <f aca="false">SUMIFS(Sessions!$I:$I,Sessions!$D:$D,$A81)</f>
        <v>4</v>
      </c>
      <c r="G81" s="12" t="n">
        <f aca="false">SUMIFS(Sessions!$I:$I,Sessions!$D:$D,$A81,Sessions!$B:$B,"ChatGPT")</f>
        <v>4</v>
      </c>
      <c r="H81" s="12" t="n">
        <f aca="false">SUMIFS(Sessions!$I:$I,Sessions!$D:$D,$A81,Sessions!$B:$B,"Claude")</f>
        <v>0</v>
      </c>
      <c r="I81" s="12" t="n">
        <f aca="false">SUMIFS(Sessions!$I:$I,Sessions!$D:$D,$A81,Sessions!$B:$B,"Gemini")</f>
        <v>0</v>
      </c>
      <c r="J81" s="12" t="n">
        <f aca="false">SUMIFS(Sessions!$I:$I,Sessions!$D:$D,$A81,Sessions!$B:$B,"Copilot")</f>
        <v>0</v>
      </c>
      <c r="K81" s="14" t="n">
        <f aca="false">IFERROR(F81/E81,"")</f>
        <v>2</v>
      </c>
      <c r="L81" s="15" t="n">
        <f aca="false">IFERROR(J81/E81,"")</f>
        <v>0</v>
      </c>
      <c r="M81" s="14" t="n">
        <f aca="false">IFERROR(E81/$E$106,"")</f>
        <v>0.000217344055640078</v>
      </c>
      <c r="N81" s="14" t="n">
        <f aca="false">IFERROR(F81/$F$106,"")</f>
        <v>0.0090293453724605</v>
      </c>
      <c r="O81" s="2" t="s">
        <v>380</v>
      </c>
      <c r="P81" s="11" t="n">
        <f aca="false">IF(F81=0,"",_xlfn.MINIFS(Sessions!$A:$A,Sessions!$D:$D,$A81))</f>
        <v>46224</v>
      </c>
      <c r="Q81" s="11" t="n">
        <f aca="false">IF(F81=0,"",_xlfn.MAXIFS(Sessions!$A:$A,Sessions!$D:$D,$A81))</f>
        <v>46271</v>
      </c>
      <c r="R81" s="12" t="n">
        <f aca="false">SUMIFS(Sessions!$J:$J,Sessions!$D:$D,$A81)</f>
        <v>4</v>
      </c>
    </row>
    <row r="82" customFormat="false" ht="15" hidden="false" customHeight="false" outlineLevel="0" collapsed="false">
      <c r="A82" s="2" t="s">
        <v>278</v>
      </c>
      <c r="B82" s="2" t="s">
        <v>279</v>
      </c>
      <c r="C82" s="2" t="s">
        <v>109</v>
      </c>
      <c r="D82" s="2" t="s">
        <v>277</v>
      </c>
      <c r="E82" s="12" t="n">
        <v>2</v>
      </c>
      <c r="F82" s="12" t="n">
        <f aca="false">SUMIFS(Sessions!$I:$I,Sessions!$D:$D,$A82)</f>
        <v>1</v>
      </c>
      <c r="G82" s="12" t="n">
        <f aca="false">SUMIFS(Sessions!$I:$I,Sessions!$D:$D,$A82,Sessions!$B:$B,"ChatGPT")</f>
        <v>1</v>
      </c>
      <c r="H82" s="12" t="n">
        <f aca="false">SUMIFS(Sessions!$I:$I,Sessions!$D:$D,$A82,Sessions!$B:$B,"Claude")</f>
        <v>0</v>
      </c>
      <c r="I82" s="12" t="n">
        <f aca="false">SUMIFS(Sessions!$I:$I,Sessions!$D:$D,$A82,Sessions!$B:$B,"Gemini")</f>
        <v>0</v>
      </c>
      <c r="J82" s="12" t="n">
        <f aca="false">SUMIFS(Sessions!$I:$I,Sessions!$D:$D,$A82,Sessions!$B:$B,"Copilot")</f>
        <v>0</v>
      </c>
      <c r="K82" s="14" t="n">
        <f aca="false">IFERROR(F82/E82,"")</f>
        <v>0.5</v>
      </c>
      <c r="L82" s="15" t="n">
        <f aca="false">IFERROR(J82/E82,"")</f>
        <v>0</v>
      </c>
      <c r="M82" s="14" t="n">
        <f aca="false">IFERROR(E82/$E$106,"")</f>
        <v>0.000217344055640078</v>
      </c>
      <c r="N82" s="14" t="n">
        <f aca="false">IFERROR(F82/$F$106,"")</f>
        <v>0.00225733634311512</v>
      </c>
      <c r="O82" s="2" t="s">
        <v>380</v>
      </c>
      <c r="P82" s="11" t="n">
        <f aca="false">IF(F82=0,"",_xlfn.MINIFS(Sessions!$A:$A,Sessions!$D:$D,$A82))</f>
        <v>46251</v>
      </c>
      <c r="Q82" s="11" t="n">
        <f aca="false">IF(F82=0,"",_xlfn.MAXIFS(Sessions!$A:$A,Sessions!$D:$D,$A82))</f>
        <v>46251</v>
      </c>
      <c r="R82" s="12" t="n">
        <f aca="false">SUMIFS(Sessions!$J:$J,Sessions!$D:$D,$A82)</f>
        <v>1</v>
      </c>
    </row>
    <row r="83" customFormat="false" ht="15" hidden="false" customHeight="false" outlineLevel="0" collapsed="false">
      <c r="A83" s="2" t="s">
        <v>249</v>
      </c>
      <c r="B83" s="2" t="s">
        <v>250</v>
      </c>
      <c r="C83" s="2" t="s">
        <v>62</v>
      </c>
      <c r="D83" s="2" t="s">
        <v>248</v>
      </c>
      <c r="E83" s="12" t="n">
        <v>2</v>
      </c>
      <c r="F83" s="12" t="n">
        <f aca="false">SUMIFS(Sessions!$I:$I,Sessions!$D:$D,$A83)</f>
        <v>1</v>
      </c>
      <c r="G83" s="12" t="n">
        <f aca="false">SUMIFS(Sessions!$I:$I,Sessions!$D:$D,$A83,Sessions!$B:$B,"ChatGPT")</f>
        <v>1</v>
      </c>
      <c r="H83" s="12" t="n">
        <f aca="false">SUMIFS(Sessions!$I:$I,Sessions!$D:$D,$A83,Sessions!$B:$B,"Claude")</f>
        <v>0</v>
      </c>
      <c r="I83" s="12" t="n">
        <f aca="false">SUMIFS(Sessions!$I:$I,Sessions!$D:$D,$A83,Sessions!$B:$B,"Gemini")</f>
        <v>0</v>
      </c>
      <c r="J83" s="12" t="n">
        <f aca="false">SUMIFS(Sessions!$I:$I,Sessions!$D:$D,$A83,Sessions!$B:$B,"Copilot")</f>
        <v>0</v>
      </c>
      <c r="K83" s="14" t="n">
        <f aca="false">IFERROR(F83/E83,"")</f>
        <v>0.5</v>
      </c>
      <c r="L83" s="15" t="n">
        <f aca="false">IFERROR(J83/E83,"")</f>
        <v>0</v>
      </c>
      <c r="M83" s="14" t="n">
        <f aca="false">IFERROR(E83/$E$106,"")</f>
        <v>0.000217344055640078</v>
      </c>
      <c r="N83" s="14" t="n">
        <f aca="false">IFERROR(F83/$F$106,"")</f>
        <v>0.00225733634311512</v>
      </c>
      <c r="O83" s="2" t="s">
        <v>380</v>
      </c>
      <c r="P83" s="11" t="n">
        <f aca="false">IF(F83=0,"",_xlfn.MINIFS(Sessions!$A:$A,Sessions!$D:$D,$A83))</f>
        <v>46245</v>
      </c>
      <c r="Q83" s="11" t="n">
        <f aca="false">IF(F83=0,"",_xlfn.MAXIFS(Sessions!$A:$A,Sessions!$D:$D,$A83))</f>
        <v>46245</v>
      </c>
      <c r="R83" s="12" t="n">
        <f aca="false">SUMIFS(Sessions!$J:$J,Sessions!$D:$D,$A83)</f>
        <v>1</v>
      </c>
    </row>
    <row r="84" customFormat="false" ht="15" hidden="false" customHeight="false" outlineLevel="0" collapsed="false">
      <c r="A84" s="2" t="s">
        <v>430</v>
      </c>
      <c r="B84" s="2" t="s">
        <v>431</v>
      </c>
      <c r="C84" s="2" t="s">
        <v>62</v>
      </c>
      <c r="D84" s="2"/>
      <c r="E84" s="12" t="n">
        <v>2</v>
      </c>
      <c r="F84" s="12" t="n">
        <f aca="false">SUMIFS(Sessions!$I:$I,Sessions!$D:$D,$A84)</f>
        <v>0</v>
      </c>
      <c r="G84" s="12" t="n">
        <f aca="false">SUMIFS(Sessions!$I:$I,Sessions!$D:$D,$A84,Sessions!$B:$B,"ChatGPT")</f>
        <v>0</v>
      </c>
      <c r="H84" s="12" t="n">
        <f aca="false">SUMIFS(Sessions!$I:$I,Sessions!$D:$D,$A84,Sessions!$B:$B,"Claude")</f>
        <v>0</v>
      </c>
      <c r="I84" s="12" t="n">
        <f aca="false">SUMIFS(Sessions!$I:$I,Sessions!$D:$D,$A84,Sessions!$B:$B,"Gemini")</f>
        <v>0</v>
      </c>
      <c r="J84" s="12" t="n">
        <f aca="false">SUMIFS(Sessions!$I:$I,Sessions!$D:$D,$A84,Sessions!$B:$B,"Copilot")</f>
        <v>0</v>
      </c>
      <c r="K84" s="14" t="n">
        <f aca="false">IFERROR(F84/E84,"")</f>
        <v>0</v>
      </c>
      <c r="L84" s="15" t="n">
        <f aca="false">IFERROR(J84/E84,"")</f>
        <v>0</v>
      </c>
      <c r="M84" s="14" t="n">
        <f aca="false">IFERROR(E84/$E$106,"")</f>
        <v>0.000217344055640078</v>
      </c>
      <c r="N84" s="14" t="n">
        <f aca="false">IFERROR(F84/$F$106,"")</f>
        <v>0</v>
      </c>
      <c r="O84" s="2" t="s">
        <v>383</v>
      </c>
      <c r="P84" s="11" t="str">
        <f aca="false">IF(F84=0,"",_xlfn.MINIFS(Sessions!$A:$A,Sessions!$D:$D,$A84))</f>
        <v/>
      </c>
      <c r="Q84" s="11" t="str">
        <f aca="false">IF(F84=0,"",_xlfn.MAXIFS(Sessions!$A:$A,Sessions!$D:$D,$A84))</f>
        <v/>
      </c>
      <c r="R84" s="12" t="n">
        <f aca="false">SUMIFS(Sessions!$J:$J,Sessions!$D:$D,$A84)</f>
        <v>0</v>
      </c>
    </row>
    <row r="85" customFormat="false" ht="15" hidden="false" customHeight="false" outlineLevel="0" collapsed="false">
      <c r="A85" s="2" t="s">
        <v>218</v>
      </c>
      <c r="B85" s="2" t="s">
        <v>219</v>
      </c>
      <c r="C85" s="2" t="s">
        <v>109</v>
      </c>
      <c r="D85" s="2" t="s">
        <v>217</v>
      </c>
      <c r="E85" s="12" t="n">
        <v>1</v>
      </c>
      <c r="F85" s="12" t="n">
        <f aca="false">SUMIFS(Sessions!$I:$I,Sessions!$D:$D,$A85)</f>
        <v>1</v>
      </c>
      <c r="G85" s="12" t="n">
        <f aca="false">SUMIFS(Sessions!$I:$I,Sessions!$D:$D,$A85,Sessions!$B:$B,"ChatGPT")</f>
        <v>1</v>
      </c>
      <c r="H85" s="12" t="n">
        <f aca="false">SUMIFS(Sessions!$I:$I,Sessions!$D:$D,$A85,Sessions!$B:$B,"Claude")</f>
        <v>0</v>
      </c>
      <c r="I85" s="12" t="n">
        <f aca="false">SUMIFS(Sessions!$I:$I,Sessions!$D:$D,$A85,Sessions!$B:$B,"Gemini")</f>
        <v>0</v>
      </c>
      <c r="J85" s="12" t="n">
        <f aca="false">SUMIFS(Sessions!$I:$I,Sessions!$D:$D,$A85,Sessions!$B:$B,"Copilot")</f>
        <v>0</v>
      </c>
      <c r="K85" s="14" t="n">
        <f aca="false">IFERROR(F85/E85,"")</f>
        <v>1</v>
      </c>
      <c r="L85" s="15" t="n">
        <f aca="false">IFERROR(J85/E85,"")</f>
        <v>0</v>
      </c>
      <c r="M85" s="14" t="n">
        <f aca="false">IFERROR(E85/$E$106,"")</f>
        <v>0.000108672027820039</v>
      </c>
      <c r="N85" s="14" t="n">
        <f aca="false">IFERROR(F85/$F$106,"")</f>
        <v>0.00225733634311512</v>
      </c>
      <c r="O85" s="2" t="s">
        <v>380</v>
      </c>
      <c r="P85" s="11" t="n">
        <f aca="false">IF(F85=0,"",_xlfn.MINIFS(Sessions!$A:$A,Sessions!$D:$D,$A85))</f>
        <v>46240</v>
      </c>
      <c r="Q85" s="11" t="n">
        <f aca="false">IF(F85=0,"",_xlfn.MAXIFS(Sessions!$A:$A,Sessions!$D:$D,$A85))</f>
        <v>46240</v>
      </c>
      <c r="R85" s="12" t="n">
        <f aca="false">SUMIFS(Sessions!$J:$J,Sessions!$D:$D,$A85)</f>
        <v>1</v>
      </c>
    </row>
    <row r="86" customFormat="false" ht="15" hidden="false" customHeight="false" outlineLevel="0" collapsed="false">
      <c r="A86" s="2" t="s">
        <v>432</v>
      </c>
      <c r="B86" s="2" t="s">
        <v>433</v>
      </c>
      <c r="C86" s="2" t="s">
        <v>62</v>
      </c>
      <c r="D86" s="2"/>
      <c r="E86" s="12" t="n">
        <v>1</v>
      </c>
      <c r="F86" s="12" t="n">
        <f aca="false">SUMIFS(Sessions!$I:$I,Sessions!$D:$D,$A86)</f>
        <v>0</v>
      </c>
      <c r="G86" s="12" t="n">
        <f aca="false">SUMIFS(Sessions!$I:$I,Sessions!$D:$D,$A86,Sessions!$B:$B,"ChatGPT")</f>
        <v>0</v>
      </c>
      <c r="H86" s="12" t="n">
        <f aca="false">SUMIFS(Sessions!$I:$I,Sessions!$D:$D,$A86,Sessions!$B:$B,"Claude")</f>
        <v>0</v>
      </c>
      <c r="I86" s="12" t="n">
        <f aca="false">SUMIFS(Sessions!$I:$I,Sessions!$D:$D,$A86,Sessions!$B:$B,"Gemini")</f>
        <v>0</v>
      </c>
      <c r="J86" s="12" t="n">
        <f aca="false">SUMIFS(Sessions!$I:$I,Sessions!$D:$D,$A86,Sessions!$B:$B,"Copilot")</f>
        <v>0</v>
      </c>
      <c r="K86" s="14" t="n">
        <f aca="false">IFERROR(F86/E86,"")</f>
        <v>0</v>
      </c>
      <c r="L86" s="15" t="n">
        <f aca="false">IFERROR(J86/E86,"")</f>
        <v>0</v>
      </c>
      <c r="M86" s="14" t="n">
        <f aca="false">IFERROR(E86/$E$106,"")</f>
        <v>0.000108672027820039</v>
      </c>
      <c r="N86" s="14" t="n">
        <f aca="false">IFERROR(F86/$F$106,"")</f>
        <v>0</v>
      </c>
      <c r="O86" s="2" t="s">
        <v>383</v>
      </c>
      <c r="P86" s="11" t="str">
        <f aca="false">IF(F86=0,"",_xlfn.MINIFS(Sessions!$A:$A,Sessions!$D:$D,$A86))</f>
        <v/>
      </c>
      <c r="Q86" s="11" t="str">
        <f aca="false">IF(F86=0,"",_xlfn.MAXIFS(Sessions!$A:$A,Sessions!$D:$D,$A86))</f>
        <v/>
      </c>
      <c r="R86" s="12" t="n">
        <f aca="false">SUMIFS(Sessions!$J:$J,Sessions!$D:$D,$A86)</f>
        <v>0</v>
      </c>
    </row>
    <row r="87" customFormat="false" ht="15" hidden="false" customHeight="false" outlineLevel="0" collapsed="false">
      <c r="A87" s="2" t="s">
        <v>434</v>
      </c>
      <c r="B87" s="2" t="s">
        <v>435</v>
      </c>
      <c r="C87" s="2" t="s">
        <v>62</v>
      </c>
      <c r="D87" s="2"/>
      <c r="E87" s="12" t="n">
        <v>1</v>
      </c>
      <c r="F87" s="12" t="n">
        <f aca="false">SUMIFS(Sessions!$I:$I,Sessions!$D:$D,$A87)</f>
        <v>0</v>
      </c>
      <c r="G87" s="12" t="n">
        <f aca="false">SUMIFS(Sessions!$I:$I,Sessions!$D:$D,$A87,Sessions!$B:$B,"ChatGPT")</f>
        <v>0</v>
      </c>
      <c r="H87" s="12" t="n">
        <f aca="false">SUMIFS(Sessions!$I:$I,Sessions!$D:$D,$A87,Sessions!$B:$B,"Claude")</f>
        <v>0</v>
      </c>
      <c r="I87" s="12" t="n">
        <f aca="false">SUMIFS(Sessions!$I:$I,Sessions!$D:$D,$A87,Sessions!$B:$B,"Gemini")</f>
        <v>0</v>
      </c>
      <c r="J87" s="12" t="n">
        <f aca="false">SUMIFS(Sessions!$I:$I,Sessions!$D:$D,$A87,Sessions!$B:$B,"Copilot")</f>
        <v>0</v>
      </c>
      <c r="K87" s="14" t="n">
        <f aca="false">IFERROR(F87/E87,"")</f>
        <v>0</v>
      </c>
      <c r="L87" s="15" t="n">
        <f aca="false">IFERROR(J87/E87,"")</f>
        <v>0</v>
      </c>
      <c r="M87" s="14" t="n">
        <f aca="false">IFERROR(E87/$E$106,"")</f>
        <v>0.000108672027820039</v>
      </c>
      <c r="N87" s="14" t="n">
        <f aca="false">IFERROR(F87/$F$106,"")</f>
        <v>0</v>
      </c>
      <c r="O87" s="2" t="s">
        <v>383</v>
      </c>
      <c r="P87" s="11" t="str">
        <f aca="false">IF(F87=0,"",_xlfn.MINIFS(Sessions!$A:$A,Sessions!$D:$D,$A87))</f>
        <v/>
      </c>
      <c r="Q87" s="11" t="str">
        <f aca="false">IF(F87=0,"",_xlfn.MAXIFS(Sessions!$A:$A,Sessions!$D:$D,$A87))</f>
        <v/>
      </c>
      <c r="R87" s="12" t="n">
        <f aca="false">SUMIFS(Sessions!$J:$J,Sessions!$D:$D,$A87)</f>
        <v>0</v>
      </c>
    </row>
    <row r="88" customFormat="false" ht="15" hidden="false" customHeight="false" outlineLevel="0" collapsed="false">
      <c r="A88" s="2" t="s">
        <v>436</v>
      </c>
      <c r="B88" s="2" t="s">
        <v>437</v>
      </c>
      <c r="C88" s="2" t="s">
        <v>62</v>
      </c>
      <c r="D88" s="2"/>
      <c r="E88" s="12" t="n">
        <v>1</v>
      </c>
      <c r="F88" s="12" t="n">
        <f aca="false">SUMIFS(Sessions!$I:$I,Sessions!$D:$D,$A88)</f>
        <v>0</v>
      </c>
      <c r="G88" s="12" t="n">
        <f aca="false">SUMIFS(Sessions!$I:$I,Sessions!$D:$D,$A88,Sessions!$B:$B,"ChatGPT")</f>
        <v>0</v>
      </c>
      <c r="H88" s="12" t="n">
        <f aca="false">SUMIFS(Sessions!$I:$I,Sessions!$D:$D,$A88,Sessions!$B:$B,"Claude")</f>
        <v>0</v>
      </c>
      <c r="I88" s="12" t="n">
        <f aca="false">SUMIFS(Sessions!$I:$I,Sessions!$D:$D,$A88,Sessions!$B:$B,"Gemini")</f>
        <v>0</v>
      </c>
      <c r="J88" s="12" t="n">
        <f aca="false">SUMIFS(Sessions!$I:$I,Sessions!$D:$D,$A88,Sessions!$B:$B,"Copilot")</f>
        <v>0</v>
      </c>
      <c r="K88" s="14" t="n">
        <f aca="false">IFERROR(F88/E88,"")</f>
        <v>0</v>
      </c>
      <c r="L88" s="15" t="n">
        <f aca="false">IFERROR(J88/E88,"")</f>
        <v>0</v>
      </c>
      <c r="M88" s="14" t="n">
        <f aca="false">IFERROR(E88/$E$106,"")</f>
        <v>0.000108672027820039</v>
      </c>
      <c r="N88" s="14" t="n">
        <f aca="false">IFERROR(F88/$F$106,"")</f>
        <v>0</v>
      </c>
      <c r="O88" s="2" t="s">
        <v>383</v>
      </c>
      <c r="P88" s="11" t="str">
        <f aca="false">IF(F88=0,"",_xlfn.MINIFS(Sessions!$A:$A,Sessions!$D:$D,$A88))</f>
        <v/>
      </c>
      <c r="Q88" s="11" t="str">
        <f aca="false">IF(F88=0,"",_xlfn.MAXIFS(Sessions!$A:$A,Sessions!$D:$D,$A88))</f>
        <v/>
      </c>
      <c r="R88" s="12" t="n">
        <f aca="false">SUMIFS(Sessions!$J:$J,Sessions!$D:$D,$A88)</f>
        <v>0</v>
      </c>
    </row>
    <row r="89" customFormat="false" ht="15" hidden="false" customHeight="false" outlineLevel="0" collapsed="false">
      <c r="A89" s="2" t="s">
        <v>438</v>
      </c>
      <c r="B89" s="2" t="s">
        <v>439</v>
      </c>
      <c r="C89" s="2" t="s">
        <v>62</v>
      </c>
      <c r="D89" s="2"/>
      <c r="E89" s="12" t="n">
        <v>1</v>
      </c>
      <c r="F89" s="12" t="n">
        <f aca="false">SUMIFS(Sessions!$I:$I,Sessions!$D:$D,$A89)</f>
        <v>0</v>
      </c>
      <c r="G89" s="12" t="n">
        <f aca="false">SUMIFS(Sessions!$I:$I,Sessions!$D:$D,$A89,Sessions!$B:$B,"ChatGPT")</f>
        <v>0</v>
      </c>
      <c r="H89" s="12" t="n">
        <f aca="false">SUMIFS(Sessions!$I:$I,Sessions!$D:$D,$A89,Sessions!$B:$B,"Claude")</f>
        <v>0</v>
      </c>
      <c r="I89" s="12" t="n">
        <f aca="false">SUMIFS(Sessions!$I:$I,Sessions!$D:$D,$A89,Sessions!$B:$B,"Gemini")</f>
        <v>0</v>
      </c>
      <c r="J89" s="12" t="n">
        <f aca="false">SUMIFS(Sessions!$I:$I,Sessions!$D:$D,$A89,Sessions!$B:$B,"Copilot")</f>
        <v>0</v>
      </c>
      <c r="K89" s="14" t="n">
        <f aca="false">IFERROR(F89/E89,"")</f>
        <v>0</v>
      </c>
      <c r="L89" s="15" t="n">
        <f aca="false">IFERROR(J89/E89,"")</f>
        <v>0</v>
      </c>
      <c r="M89" s="14" t="n">
        <f aca="false">IFERROR(E89/$E$106,"")</f>
        <v>0.000108672027820039</v>
      </c>
      <c r="N89" s="14" t="n">
        <f aca="false">IFERROR(F89/$F$106,"")</f>
        <v>0</v>
      </c>
      <c r="O89" s="2" t="s">
        <v>383</v>
      </c>
      <c r="P89" s="11" t="str">
        <f aca="false">IF(F89=0,"",_xlfn.MINIFS(Sessions!$A:$A,Sessions!$D:$D,$A89))</f>
        <v/>
      </c>
      <c r="Q89" s="11" t="str">
        <f aca="false">IF(F89=0,"",_xlfn.MAXIFS(Sessions!$A:$A,Sessions!$D:$D,$A89))</f>
        <v/>
      </c>
      <c r="R89" s="12" t="n">
        <f aca="false">SUMIFS(Sessions!$J:$J,Sessions!$D:$D,$A89)</f>
        <v>0</v>
      </c>
    </row>
    <row r="90" customFormat="false" ht="15" hidden="false" customHeight="false" outlineLevel="0" collapsed="false">
      <c r="A90" s="2" t="s">
        <v>100</v>
      </c>
      <c r="B90" s="2" t="s">
        <v>101</v>
      </c>
      <c r="C90" s="2" t="s">
        <v>94</v>
      </c>
      <c r="D90" s="2" t="s">
        <v>99</v>
      </c>
      <c r="E90" s="12"/>
      <c r="F90" s="12" t="n">
        <f aca="false">SUMIFS(Sessions!$I:$I,Sessions!$D:$D,$A90)</f>
        <v>14</v>
      </c>
      <c r="G90" s="12" t="n">
        <f aca="false">SUMIFS(Sessions!$I:$I,Sessions!$D:$D,$A90,Sessions!$B:$B,"ChatGPT")</f>
        <v>10</v>
      </c>
      <c r="H90" s="12" t="n">
        <f aca="false">SUMIFS(Sessions!$I:$I,Sessions!$D:$D,$A90,Sessions!$B:$B,"Claude")</f>
        <v>2</v>
      </c>
      <c r="I90" s="12" t="n">
        <f aca="false">SUMIFS(Sessions!$I:$I,Sessions!$D:$D,$A90,Sessions!$B:$B,"Gemini")</f>
        <v>2</v>
      </c>
      <c r="J90" s="12" t="n">
        <f aca="false">SUMIFS(Sessions!$I:$I,Sessions!$D:$D,$A90,Sessions!$B:$B,"Copilot")</f>
        <v>0</v>
      </c>
      <c r="K90" s="14" t="str">
        <f aca="false">IFERROR(F90/E90,"")</f>
        <v/>
      </c>
      <c r="L90" s="15" t="str">
        <f aca="false">IFERROR(J90/E90,"")</f>
        <v/>
      </c>
      <c r="M90" s="14" t="n">
        <f aca="false">IFERROR(E90/$E$106,"")</f>
        <v>0</v>
      </c>
      <c r="N90" s="14" t="n">
        <f aca="false">IFERROR(F90/$F$106,"")</f>
        <v>0.0316027088036117</v>
      </c>
      <c r="O90" s="2" t="s">
        <v>440</v>
      </c>
      <c r="P90" s="11" t="n">
        <f aca="false">IF(F90=0,"",_xlfn.MINIFS(Sessions!$A:$A,Sessions!$D:$D,$A90))</f>
        <v>46168</v>
      </c>
      <c r="Q90" s="11" t="n">
        <f aca="false">IF(F90=0,"",_xlfn.MAXIFS(Sessions!$A:$A,Sessions!$D:$D,$A90))</f>
        <v>46266</v>
      </c>
      <c r="R90" s="12" t="n">
        <f aca="false">SUMIFS(Sessions!$J:$J,Sessions!$D:$D,$A90)</f>
        <v>12</v>
      </c>
    </row>
    <row r="91" customFormat="false" ht="15" hidden="false" customHeight="false" outlineLevel="0" collapsed="false">
      <c r="A91" s="2" t="s">
        <v>245</v>
      </c>
      <c r="B91" s="2" t="s">
        <v>246</v>
      </c>
      <c r="C91" s="2" t="s">
        <v>62</v>
      </c>
      <c r="D91" s="2" t="s">
        <v>244</v>
      </c>
      <c r="E91" s="12"/>
      <c r="F91" s="12" t="n">
        <f aca="false">SUMIFS(Sessions!$I:$I,Sessions!$D:$D,$A91)</f>
        <v>5</v>
      </c>
      <c r="G91" s="12" t="n">
        <f aca="false">SUMIFS(Sessions!$I:$I,Sessions!$D:$D,$A91,Sessions!$B:$B,"ChatGPT")</f>
        <v>5</v>
      </c>
      <c r="H91" s="12" t="n">
        <f aca="false">SUMIFS(Sessions!$I:$I,Sessions!$D:$D,$A91,Sessions!$B:$B,"Claude")</f>
        <v>0</v>
      </c>
      <c r="I91" s="12" t="n">
        <f aca="false">SUMIFS(Sessions!$I:$I,Sessions!$D:$D,$A91,Sessions!$B:$B,"Gemini")</f>
        <v>0</v>
      </c>
      <c r="J91" s="12" t="n">
        <f aca="false">SUMIFS(Sessions!$I:$I,Sessions!$D:$D,$A91,Sessions!$B:$B,"Copilot")</f>
        <v>0</v>
      </c>
      <c r="K91" s="14" t="str">
        <f aca="false">IFERROR(F91/E91,"")</f>
        <v/>
      </c>
      <c r="L91" s="15" t="str">
        <f aca="false">IFERROR(J91/E91,"")</f>
        <v/>
      </c>
      <c r="M91" s="14" t="n">
        <f aca="false">IFERROR(E91/$E$106,"")</f>
        <v>0</v>
      </c>
      <c r="N91" s="14" t="n">
        <f aca="false">IFERROR(F91/$F$106,"")</f>
        <v>0.0112866817155756</v>
      </c>
      <c r="O91" s="2" t="s">
        <v>440</v>
      </c>
      <c r="P91" s="11" t="n">
        <f aca="false">IF(F91=0,"",_xlfn.MINIFS(Sessions!$A:$A,Sessions!$D:$D,$A91))</f>
        <v>46245</v>
      </c>
      <c r="Q91" s="11" t="n">
        <f aca="false">IF(F91=0,"",_xlfn.MAXIFS(Sessions!$A:$A,Sessions!$D:$D,$A91))</f>
        <v>46256</v>
      </c>
      <c r="R91" s="12" t="n">
        <f aca="false">SUMIFS(Sessions!$J:$J,Sessions!$D:$D,$A91)</f>
        <v>5</v>
      </c>
    </row>
    <row r="92" customFormat="false" ht="15" hidden="false" customHeight="false" outlineLevel="0" collapsed="false">
      <c r="A92" s="2" t="s">
        <v>103</v>
      </c>
      <c r="B92" s="2" t="s">
        <v>104</v>
      </c>
      <c r="C92" s="2" t="s">
        <v>94</v>
      </c>
      <c r="D92" s="2" t="s">
        <v>102</v>
      </c>
      <c r="E92" s="12"/>
      <c r="F92" s="12" t="n">
        <f aca="false">SUMIFS(Sessions!$I:$I,Sessions!$D:$D,$A92)</f>
        <v>4</v>
      </c>
      <c r="G92" s="12" t="n">
        <f aca="false">SUMIFS(Sessions!$I:$I,Sessions!$D:$D,$A92,Sessions!$B:$B,"ChatGPT")</f>
        <v>3</v>
      </c>
      <c r="H92" s="12" t="n">
        <f aca="false">SUMIFS(Sessions!$I:$I,Sessions!$D:$D,$A92,Sessions!$B:$B,"Claude")</f>
        <v>0</v>
      </c>
      <c r="I92" s="12" t="n">
        <f aca="false">SUMIFS(Sessions!$I:$I,Sessions!$D:$D,$A92,Sessions!$B:$B,"Gemini")</f>
        <v>1</v>
      </c>
      <c r="J92" s="12" t="n">
        <f aca="false">SUMIFS(Sessions!$I:$I,Sessions!$D:$D,$A92,Sessions!$B:$B,"Copilot")</f>
        <v>0</v>
      </c>
      <c r="K92" s="14" t="str">
        <f aca="false">IFERROR(F92/E92,"")</f>
        <v/>
      </c>
      <c r="L92" s="15" t="str">
        <f aca="false">IFERROR(J92/E92,"")</f>
        <v/>
      </c>
      <c r="M92" s="14" t="n">
        <f aca="false">IFERROR(E92/$E$106,"")</f>
        <v>0</v>
      </c>
      <c r="N92" s="14" t="n">
        <f aca="false">IFERROR(F92/$F$106,"")</f>
        <v>0.0090293453724605</v>
      </c>
      <c r="O92" s="2" t="s">
        <v>440</v>
      </c>
      <c r="P92" s="11" t="n">
        <f aca="false">IF(F92=0,"",_xlfn.MINIFS(Sessions!$A:$A,Sessions!$D:$D,$A92))</f>
        <v>46168</v>
      </c>
      <c r="Q92" s="11" t="n">
        <f aca="false">IF(F92=0,"",_xlfn.MAXIFS(Sessions!$A:$A,Sessions!$D:$D,$A92))</f>
        <v>46262</v>
      </c>
      <c r="R92" s="12" t="n">
        <f aca="false">SUMIFS(Sessions!$J:$J,Sessions!$D:$D,$A92)</f>
        <v>4</v>
      </c>
    </row>
    <row r="93" customFormat="false" ht="15" hidden="false" customHeight="false" outlineLevel="0" collapsed="false">
      <c r="A93" s="2" t="s">
        <v>328</v>
      </c>
      <c r="B93" s="2" t="s">
        <v>329</v>
      </c>
      <c r="C93" s="2" t="s">
        <v>94</v>
      </c>
      <c r="D93" s="2" t="s">
        <v>327</v>
      </c>
      <c r="E93" s="12"/>
      <c r="F93" s="12" t="n">
        <f aca="false">SUMIFS(Sessions!$I:$I,Sessions!$D:$D,$A93)</f>
        <v>3</v>
      </c>
      <c r="G93" s="12" t="n">
        <f aca="false">SUMIFS(Sessions!$I:$I,Sessions!$D:$D,$A93,Sessions!$B:$B,"ChatGPT")</f>
        <v>3</v>
      </c>
      <c r="H93" s="12" t="n">
        <f aca="false">SUMIFS(Sessions!$I:$I,Sessions!$D:$D,$A93,Sessions!$B:$B,"Claude")</f>
        <v>0</v>
      </c>
      <c r="I93" s="12" t="n">
        <f aca="false">SUMIFS(Sessions!$I:$I,Sessions!$D:$D,$A93,Sessions!$B:$B,"Gemini")</f>
        <v>0</v>
      </c>
      <c r="J93" s="12" t="n">
        <f aca="false">SUMIFS(Sessions!$I:$I,Sessions!$D:$D,$A93,Sessions!$B:$B,"Copilot")</f>
        <v>0</v>
      </c>
      <c r="K93" s="14" t="str">
        <f aca="false">IFERROR(F93/E93,"")</f>
        <v/>
      </c>
      <c r="L93" s="15" t="str">
        <f aca="false">IFERROR(J93/E93,"")</f>
        <v/>
      </c>
      <c r="M93" s="14" t="n">
        <f aca="false">IFERROR(E93/$E$106,"")</f>
        <v>0</v>
      </c>
      <c r="N93" s="14" t="n">
        <f aca="false">IFERROR(F93/$F$106,"")</f>
        <v>0.00677200902934537</v>
      </c>
      <c r="O93" s="2" t="s">
        <v>440</v>
      </c>
      <c r="P93" s="11" t="n">
        <f aca="false">IF(F93=0,"",_xlfn.MINIFS(Sessions!$A:$A,Sessions!$D:$D,$A93))</f>
        <v>46262</v>
      </c>
      <c r="Q93" s="11" t="n">
        <f aca="false">IF(F93=0,"",_xlfn.MAXIFS(Sessions!$A:$A,Sessions!$D:$D,$A93))</f>
        <v>46274</v>
      </c>
      <c r="R93" s="12" t="n">
        <f aca="false">SUMIFS(Sessions!$J:$J,Sessions!$D:$D,$A93)</f>
        <v>2</v>
      </c>
    </row>
    <row r="94" customFormat="false" ht="15" hidden="false" customHeight="false" outlineLevel="0" collapsed="false">
      <c r="A94" s="2" t="s">
        <v>142</v>
      </c>
      <c r="B94" s="2" t="s">
        <v>143</v>
      </c>
      <c r="C94" s="2" t="s">
        <v>62</v>
      </c>
      <c r="D94" s="2" t="s">
        <v>141</v>
      </c>
      <c r="E94" s="12"/>
      <c r="F94" s="12" t="n">
        <f aca="false">SUMIFS(Sessions!$I:$I,Sessions!$D:$D,$A94)</f>
        <v>3</v>
      </c>
      <c r="G94" s="12" t="n">
        <f aca="false">SUMIFS(Sessions!$I:$I,Sessions!$D:$D,$A94,Sessions!$B:$B,"ChatGPT")</f>
        <v>3</v>
      </c>
      <c r="H94" s="12" t="n">
        <f aca="false">SUMIFS(Sessions!$I:$I,Sessions!$D:$D,$A94,Sessions!$B:$B,"Claude")</f>
        <v>0</v>
      </c>
      <c r="I94" s="12" t="n">
        <f aca="false">SUMIFS(Sessions!$I:$I,Sessions!$D:$D,$A94,Sessions!$B:$B,"Gemini")</f>
        <v>0</v>
      </c>
      <c r="J94" s="12" t="n">
        <f aca="false">SUMIFS(Sessions!$I:$I,Sessions!$D:$D,$A94,Sessions!$B:$B,"Copilot")</f>
        <v>0</v>
      </c>
      <c r="K94" s="14" t="str">
        <f aca="false">IFERROR(F94/E94,"")</f>
        <v/>
      </c>
      <c r="L94" s="15" t="str">
        <f aca="false">IFERROR(J94/E94,"")</f>
        <v/>
      </c>
      <c r="M94" s="14" t="n">
        <f aca="false">IFERROR(E94/$E$106,"")</f>
        <v>0</v>
      </c>
      <c r="N94" s="14" t="n">
        <f aca="false">IFERROR(F94/$F$106,"")</f>
        <v>0.00677200902934537</v>
      </c>
      <c r="O94" s="2" t="s">
        <v>440</v>
      </c>
      <c r="P94" s="11" t="n">
        <f aca="false">IF(F94=0,"",_xlfn.MINIFS(Sessions!$A:$A,Sessions!$D:$D,$A94))</f>
        <v>46196</v>
      </c>
      <c r="Q94" s="11" t="n">
        <f aca="false">IF(F94=0,"",_xlfn.MAXIFS(Sessions!$A:$A,Sessions!$D:$D,$A94))</f>
        <v>46255</v>
      </c>
      <c r="R94" s="12" t="n">
        <f aca="false">SUMIFS(Sessions!$J:$J,Sessions!$D:$D,$A94)</f>
        <v>3</v>
      </c>
    </row>
    <row r="95" customFormat="false" ht="15" hidden="false" customHeight="false" outlineLevel="0" collapsed="false">
      <c r="A95" s="2" t="s">
        <v>214</v>
      </c>
      <c r="B95" s="2" t="s">
        <v>215</v>
      </c>
      <c r="C95" s="2" t="s">
        <v>62</v>
      </c>
      <c r="D95" s="2" t="s">
        <v>213</v>
      </c>
      <c r="E95" s="12"/>
      <c r="F95" s="12" t="n">
        <f aca="false">SUMIFS(Sessions!$I:$I,Sessions!$D:$D,$A95)</f>
        <v>2</v>
      </c>
      <c r="G95" s="12" t="n">
        <f aca="false">SUMIFS(Sessions!$I:$I,Sessions!$D:$D,$A95,Sessions!$B:$B,"ChatGPT")</f>
        <v>2</v>
      </c>
      <c r="H95" s="12" t="n">
        <f aca="false">SUMIFS(Sessions!$I:$I,Sessions!$D:$D,$A95,Sessions!$B:$B,"Claude")</f>
        <v>0</v>
      </c>
      <c r="I95" s="12" t="n">
        <f aca="false">SUMIFS(Sessions!$I:$I,Sessions!$D:$D,$A95,Sessions!$B:$B,"Gemini")</f>
        <v>0</v>
      </c>
      <c r="J95" s="12" t="n">
        <f aca="false">SUMIFS(Sessions!$I:$I,Sessions!$D:$D,$A95,Sessions!$B:$B,"Copilot")</f>
        <v>0</v>
      </c>
      <c r="K95" s="14" t="str">
        <f aca="false">IFERROR(F95/E95,"")</f>
        <v/>
      </c>
      <c r="L95" s="15" t="str">
        <f aca="false">IFERROR(J95/E95,"")</f>
        <v/>
      </c>
      <c r="M95" s="14" t="n">
        <f aca="false">IFERROR(E95/$E$106,"")</f>
        <v>0</v>
      </c>
      <c r="N95" s="14" t="n">
        <f aca="false">IFERROR(F95/$F$106,"")</f>
        <v>0.00451467268623025</v>
      </c>
      <c r="O95" s="2" t="s">
        <v>440</v>
      </c>
      <c r="P95" s="11" t="n">
        <f aca="false">IF(F95=0,"",_xlfn.MINIFS(Sessions!$A:$A,Sessions!$D:$D,$A95))</f>
        <v>46233</v>
      </c>
      <c r="Q95" s="11" t="n">
        <f aca="false">IF(F95=0,"",_xlfn.MAXIFS(Sessions!$A:$A,Sessions!$D:$D,$A95))</f>
        <v>46266</v>
      </c>
      <c r="R95" s="12" t="n">
        <f aca="false">SUMIFS(Sessions!$J:$J,Sessions!$D:$D,$A95)</f>
        <v>2</v>
      </c>
    </row>
    <row r="96" customFormat="false" ht="15" hidden="false" customHeight="false" outlineLevel="0" collapsed="false">
      <c r="A96" s="2" t="s">
        <v>125</v>
      </c>
      <c r="B96" s="2" t="s">
        <v>126</v>
      </c>
      <c r="C96" s="2" t="s">
        <v>62</v>
      </c>
      <c r="D96" s="2" t="s">
        <v>124</v>
      </c>
      <c r="E96" s="12"/>
      <c r="F96" s="12" t="n">
        <f aca="false">SUMIFS(Sessions!$I:$I,Sessions!$D:$D,$A96)</f>
        <v>2</v>
      </c>
      <c r="G96" s="12" t="n">
        <f aca="false">SUMIFS(Sessions!$I:$I,Sessions!$D:$D,$A96,Sessions!$B:$B,"ChatGPT")</f>
        <v>2</v>
      </c>
      <c r="H96" s="12" t="n">
        <f aca="false">SUMIFS(Sessions!$I:$I,Sessions!$D:$D,$A96,Sessions!$B:$B,"Claude")</f>
        <v>0</v>
      </c>
      <c r="I96" s="12" t="n">
        <f aca="false">SUMIFS(Sessions!$I:$I,Sessions!$D:$D,$A96,Sessions!$B:$B,"Gemini")</f>
        <v>0</v>
      </c>
      <c r="J96" s="12" t="n">
        <f aca="false">SUMIFS(Sessions!$I:$I,Sessions!$D:$D,$A96,Sessions!$B:$B,"Copilot")</f>
        <v>0</v>
      </c>
      <c r="K96" s="14" t="str">
        <f aca="false">IFERROR(F96/E96,"")</f>
        <v/>
      </c>
      <c r="L96" s="15" t="str">
        <f aca="false">IFERROR(J96/E96,"")</f>
        <v/>
      </c>
      <c r="M96" s="14" t="n">
        <f aca="false">IFERROR(E96/$E$106,"")</f>
        <v>0</v>
      </c>
      <c r="N96" s="14" t="n">
        <f aca="false">IFERROR(F96/$F$106,"")</f>
        <v>0.00451467268623025</v>
      </c>
      <c r="O96" s="2" t="s">
        <v>440</v>
      </c>
      <c r="P96" s="11" t="n">
        <f aca="false">IF(F96=0,"",_xlfn.MINIFS(Sessions!$A:$A,Sessions!$D:$D,$A96))</f>
        <v>46177</v>
      </c>
      <c r="Q96" s="11" t="n">
        <f aca="false">IF(F96=0,"",_xlfn.MAXIFS(Sessions!$A:$A,Sessions!$D:$D,$A96))</f>
        <v>46245</v>
      </c>
      <c r="R96" s="12" t="n">
        <f aca="false">SUMIFS(Sessions!$J:$J,Sessions!$D:$D,$A96)</f>
        <v>2</v>
      </c>
    </row>
    <row r="97" customFormat="false" ht="15" hidden="false" customHeight="false" outlineLevel="0" collapsed="false">
      <c r="A97" s="2" t="s">
        <v>288</v>
      </c>
      <c r="B97" s="2" t="s">
        <v>289</v>
      </c>
      <c r="C97" s="2" t="s">
        <v>62</v>
      </c>
      <c r="D97" s="2" t="s">
        <v>287</v>
      </c>
      <c r="E97" s="12"/>
      <c r="F97" s="12" t="n">
        <f aca="false">SUMIFS(Sessions!$I:$I,Sessions!$D:$D,$A97)</f>
        <v>2</v>
      </c>
      <c r="G97" s="12" t="n">
        <f aca="false">SUMIFS(Sessions!$I:$I,Sessions!$D:$D,$A97,Sessions!$B:$B,"ChatGPT")</f>
        <v>2</v>
      </c>
      <c r="H97" s="12" t="n">
        <f aca="false">SUMIFS(Sessions!$I:$I,Sessions!$D:$D,$A97,Sessions!$B:$B,"Claude")</f>
        <v>0</v>
      </c>
      <c r="I97" s="12" t="n">
        <f aca="false">SUMIFS(Sessions!$I:$I,Sessions!$D:$D,$A97,Sessions!$B:$B,"Gemini")</f>
        <v>0</v>
      </c>
      <c r="J97" s="12" t="n">
        <f aca="false">SUMIFS(Sessions!$I:$I,Sessions!$D:$D,$A97,Sessions!$B:$B,"Copilot")</f>
        <v>0</v>
      </c>
      <c r="K97" s="14" t="str">
        <f aca="false">IFERROR(F97/E97,"")</f>
        <v/>
      </c>
      <c r="L97" s="15" t="str">
        <f aca="false">IFERROR(J97/E97,"")</f>
        <v/>
      </c>
      <c r="M97" s="14" t="n">
        <f aca="false">IFERROR(E97/$E$106,"")</f>
        <v>0</v>
      </c>
      <c r="N97" s="14" t="n">
        <f aca="false">IFERROR(F97/$F$106,"")</f>
        <v>0.00451467268623025</v>
      </c>
      <c r="O97" s="2" t="s">
        <v>440</v>
      </c>
      <c r="P97" s="11" t="n">
        <f aca="false">IF(F97=0,"",_xlfn.MINIFS(Sessions!$A:$A,Sessions!$D:$D,$A97))</f>
        <v>46254</v>
      </c>
      <c r="Q97" s="11" t="n">
        <f aca="false">IF(F97=0,"",_xlfn.MAXIFS(Sessions!$A:$A,Sessions!$D:$D,$A97))</f>
        <v>46272</v>
      </c>
      <c r="R97" s="12" t="n">
        <f aca="false">SUMIFS(Sessions!$J:$J,Sessions!$D:$D,$A97)</f>
        <v>2</v>
      </c>
    </row>
    <row r="98" customFormat="false" ht="15" hidden="false" customHeight="false" outlineLevel="0" collapsed="false">
      <c r="A98" s="2" t="s">
        <v>226</v>
      </c>
      <c r="B98" s="2" t="s">
        <v>227</v>
      </c>
      <c r="C98" s="2" t="s">
        <v>94</v>
      </c>
      <c r="D98" s="2" t="s">
        <v>225</v>
      </c>
      <c r="E98" s="12"/>
      <c r="F98" s="12" t="n">
        <f aca="false">SUMIFS(Sessions!$I:$I,Sessions!$D:$D,$A98)</f>
        <v>1</v>
      </c>
      <c r="G98" s="12" t="n">
        <f aca="false">SUMIFS(Sessions!$I:$I,Sessions!$D:$D,$A98,Sessions!$B:$B,"ChatGPT")</f>
        <v>0</v>
      </c>
      <c r="H98" s="12" t="n">
        <f aca="false">SUMIFS(Sessions!$I:$I,Sessions!$D:$D,$A98,Sessions!$B:$B,"Claude")</f>
        <v>0</v>
      </c>
      <c r="I98" s="12" t="n">
        <f aca="false">SUMIFS(Sessions!$I:$I,Sessions!$D:$D,$A98,Sessions!$B:$B,"Gemini")</f>
        <v>1</v>
      </c>
      <c r="J98" s="12" t="n">
        <f aca="false">SUMIFS(Sessions!$I:$I,Sessions!$D:$D,$A98,Sessions!$B:$B,"Copilot")</f>
        <v>0</v>
      </c>
      <c r="K98" s="14" t="str">
        <f aca="false">IFERROR(F98/E98,"")</f>
        <v/>
      </c>
      <c r="L98" s="15" t="str">
        <f aca="false">IFERROR(J98/E98,"")</f>
        <v/>
      </c>
      <c r="M98" s="14" t="n">
        <f aca="false">IFERROR(E98/$E$106,"")</f>
        <v>0</v>
      </c>
      <c r="N98" s="14" t="n">
        <f aca="false">IFERROR(F98/$F$106,"")</f>
        <v>0.00225733634311512</v>
      </c>
      <c r="O98" s="2" t="s">
        <v>440</v>
      </c>
      <c r="P98" s="11" t="n">
        <f aca="false">IF(F98=0,"",_xlfn.MINIFS(Sessions!$A:$A,Sessions!$D:$D,$A98))</f>
        <v>46244</v>
      </c>
      <c r="Q98" s="11" t="n">
        <f aca="false">IF(F98=0,"",_xlfn.MAXIFS(Sessions!$A:$A,Sessions!$D:$D,$A98))</f>
        <v>46244</v>
      </c>
      <c r="R98" s="12" t="n">
        <f aca="false">SUMIFS(Sessions!$J:$J,Sessions!$D:$D,$A98)</f>
        <v>1</v>
      </c>
    </row>
    <row r="99" customFormat="false" ht="15" hidden="false" customHeight="false" outlineLevel="0" collapsed="false">
      <c r="A99" s="2" t="s">
        <v>302</v>
      </c>
      <c r="B99" s="2" t="s">
        <v>303</v>
      </c>
      <c r="C99" s="2" t="s">
        <v>62</v>
      </c>
      <c r="D99" s="2" t="s">
        <v>301</v>
      </c>
      <c r="E99" s="12"/>
      <c r="F99" s="12" t="n">
        <f aca="false">SUMIFS(Sessions!$I:$I,Sessions!$D:$D,$A99)</f>
        <v>1</v>
      </c>
      <c r="G99" s="12" t="n">
        <f aca="false">SUMIFS(Sessions!$I:$I,Sessions!$D:$D,$A99,Sessions!$B:$B,"ChatGPT")</f>
        <v>1</v>
      </c>
      <c r="H99" s="12" t="n">
        <f aca="false">SUMIFS(Sessions!$I:$I,Sessions!$D:$D,$A99,Sessions!$B:$B,"Claude")</f>
        <v>0</v>
      </c>
      <c r="I99" s="12" t="n">
        <f aca="false">SUMIFS(Sessions!$I:$I,Sessions!$D:$D,$A99,Sessions!$B:$B,"Gemini")</f>
        <v>0</v>
      </c>
      <c r="J99" s="12" t="n">
        <f aca="false">SUMIFS(Sessions!$I:$I,Sessions!$D:$D,$A99,Sessions!$B:$B,"Copilot")</f>
        <v>0</v>
      </c>
      <c r="K99" s="14" t="str">
        <f aca="false">IFERROR(F99/E99,"")</f>
        <v/>
      </c>
      <c r="L99" s="15" t="str">
        <f aca="false">IFERROR(J99/E99,"")</f>
        <v/>
      </c>
      <c r="M99" s="14" t="n">
        <f aca="false">IFERROR(E99/$E$106,"")</f>
        <v>0</v>
      </c>
      <c r="N99" s="14" t="n">
        <f aca="false">IFERROR(F99/$F$106,"")</f>
        <v>0.00225733634311512</v>
      </c>
      <c r="O99" s="2" t="s">
        <v>440</v>
      </c>
      <c r="P99" s="11" t="n">
        <f aca="false">IF(F99=0,"",_xlfn.MINIFS(Sessions!$A:$A,Sessions!$D:$D,$A99))</f>
        <v>46256</v>
      </c>
      <c r="Q99" s="11" t="n">
        <f aca="false">IF(F99=0,"",_xlfn.MAXIFS(Sessions!$A:$A,Sessions!$D:$D,$A99))</f>
        <v>46256</v>
      </c>
      <c r="R99" s="12" t="n">
        <f aca="false">SUMIFS(Sessions!$J:$J,Sessions!$D:$D,$A99)</f>
        <v>1</v>
      </c>
    </row>
    <row r="100" customFormat="false" ht="15" hidden="false" customHeight="false" outlineLevel="0" collapsed="false">
      <c r="A100" s="2" t="s">
        <v>316</v>
      </c>
      <c r="B100" s="2" t="s">
        <v>317</v>
      </c>
      <c r="C100" s="2" t="s">
        <v>62</v>
      </c>
      <c r="D100" s="2" t="s">
        <v>315</v>
      </c>
      <c r="E100" s="12"/>
      <c r="F100" s="12" t="n">
        <f aca="false">SUMIFS(Sessions!$I:$I,Sessions!$D:$D,$A100)</f>
        <v>1</v>
      </c>
      <c r="G100" s="12" t="n">
        <f aca="false">SUMIFS(Sessions!$I:$I,Sessions!$D:$D,$A100,Sessions!$B:$B,"ChatGPT")</f>
        <v>1</v>
      </c>
      <c r="H100" s="12" t="n">
        <f aca="false">SUMIFS(Sessions!$I:$I,Sessions!$D:$D,$A100,Sessions!$B:$B,"Claude")</f>
        <v>0</v>
      </c>
      <c r="I100" s="12" t="n">
        <f aca="false">SUMIFS(Sessions!$I:$I,Sessions!$D:$D,$A100,Sessions!$B:$B,"Gemini")</f>
        <v>0</v>
      </c>
      <c r="J100" s="12" t="n">
        <f aca="false">SUMIFS(Sessions!$I:$I,Sessions!$D:$D,$A100,Sessions!$B:$B,"Copilot")</f>
        <v>0</v>
      </c>
      <c r="K100" s="14" t="str">
        <f aca="false">IFERROR(F100/E100,"")</f>
        <v/>
      </c>
      <c r="L100" s="15" t="str">
        <f aca="false">IFERROR(J100/E100,"")</f>
        <v/>
      </c>
      <c r="M100" s="14" t="n">
        <f aca="false">IFERROR(E100/$E$106,"")</f>
        <v>0</v>
      </c>
      <c r="N100" s="14" t="n">
        <f aca="false">IFERROR(F100/$F$106,"")</f>
        <v>0.00225733634311512</v>
      </c>
      <c r="O100" s="2" t="s">
        <v>440</v>
      </c>
      <c r="P100" s="11" t="n">
        <f aca="false">IF(F100=0,"",_xlfn.MINIFS(Sessions!$A:$A,Sessions!$D:$D,$A100))</f>
        <v>46259</v>
      </c>
      <c r="Q100" s="11" t="n">
        <f aca="false">IF(F100=0,"",_xlfn.MAXIFS(Sessions!$A:$A,Sessions!$D:$D,$A100))</f>
        <v>46259</v>
      </c>
      <c r="R100" s="12" t="n">
        <f aca="false">SUMIFS(Sessions!$J:$J,Sessions!$D:$D,$A100)</f>
        <v>1</v>
      </c>
    </row>
    <row r="101" customFormat="false" ht="15" hidden="false" customHeight="false" outlineLevel="0" collapsed="false">
      <c r="A101" s="2" t="s">
        <v>186</v>
      </c>
      <c r="B101" s="2" t="s">
        <v>187</v>
      </c>
      <c r="C101" s="2" t="s">
        <v>62</v>
      </c>
      <c r="D101" s="2" t="s">
        <v>185</v>
      </c>
      <c r="E101" s="12"/>
      <c r="F101" s="12" t="n">
        <f aca="false">SUMIFS(Sessions!$I:$I,Sessions!$D:$D,$A101)</f>
        <v>1</v>
      </c>
      <c r="G101" s="12" t="n">
        <f aca="false">SUMIFS(Sessions!$I:$I,Sessions!$D:$D,$A101,Sessions!$B:$B,"ChatGPT")</f>
        <v>0</v>
      </c>
      <c r="H101" s="12" t="n">
        <f aca="false">SUMIFS(Sessions!$I:$I,Sessions!$D:$D,$A101,Sessions!$B:$B,"Claude")</f>
        <v>1</v>
      </c>
      <c r="I101" s="12" t="n">
        <f aca="false">SUMIFS(Sessions!$I:$I,Sessions!$D:$D,$A101,Sessions!$B:$B,"Gemini")</f>
        <v>0</v>
      </c>
      <c r="J101" s="12" t="n">
        <f aca="false">SUMIFS(Sessions!$I:$I,Sessions!$D:$D,$A101,Sessions!$B:$B,"Copilot")</f>
        <v>0</v>
      </c>
      <c r="K101" s="14" t="str">
        <f aca="false">IFERROR(F101/E101,"")</f>
        <v/>
      </c>
      <c r="L101" s="15" t="str">
        <f aca="false">IFERROR(J101/E101,"")</f>
        <v/>
      </c>
      <c r="M101" s="14" t="n">
        <f aca="false">IFERROR(E101/$E$106,"")</f>
        <v>0</v>
      </c>
      <c r="N101" s="14" t="n">
        <f aca="false">IFERROR(F101/$F$106,"")</f>
        <v>0.00225733634311512</v>
      </c>
      <c r="O101" s="2" t="s">
        <v>440</v>
      </c>
      <c r="P101" s="11" t="n">
        <f aca="false">IF(F101=0,"",_xlfn.MINIFS(Sessions!$A:$A,Sessions!$D:$D,$A101))</f>
        <v>46225</v>
      </c>
      <c r="Q101" s="11" t="n">
        <f aca="false">IF(F101=0,"",_xlfn.MAXIFS(Sessions!$A:$A,Sessions!$D:$D,$A101))</f>
        <v>46225</v>
      </c>
      <c r="R101" s="12" t="n">
        <f aca="false">SUMIFS(Sessions!$J:$J,Sessions!$D:$D,$A101)</f>
        <v>1</v>
      </c>
    </row>
    <row r="102" customFormat="false" ht="15" hidden="false" customHeight="false" outlineLevel="0" collapsed="false">
      <c r="A102" s="2" t="s">
        <v>324</v>
      </c>
      <c r="B102" s="2" t="s">
        <v>325</v>
      </c>
      <c r="C102" s="2" t="s">
        <v>62</v>
      </c>
      <c r="D102" s="2" t="s">
        <v>323</v>
      </c>
      <c r="E102" s="12"/>
      <c r="F102" s="12" t="n">
        <f aca="false">SUMIFS(Sessions!$I:$I,Sessions!$D:$D,$A102)</f>
        <v>1</v>
      </c>
      <c r="G102" s="12" t="n">
        <f aca="false">SUMIFS(Sessions!$I:$I,Sessions!$D:$D,$A102,Sessions!$B:$B,"ChatGPT")</f>
        <v>1</v>
      </c>
      <c r="H102" s="12" t="n">
        <f aca="false">SUMIFS(Sessions!$I:$I,Sessions!$D:$D,$A102,Sessions!$B:$B,"Claude")</f>
        <v>0</v>
      </c>
      <c r="I102" s="12" t="n">
        <f aca="false">SUMIFS(Sessions!$I:$I,Sessions!$D:$D,$A102,Sessions!$B:$B,"Gemini")</f>
        <v>0</v>
      </c>
      <c r="J102" s="12" t="n">
        <f aca="false">SUMIFS(Sessions!$I:$I,Sessions!$D:$D,$A102,Sessions!$B:$B,"Copilot")</f>
        <v>0</v>
      </c>
      <c r="K102" s="14" t="str">
        <f aca="false">IFERROR(F102/E102,"")</f>
        <v/>
      </c>
      <c r="L102" s="15" t="str">
        <f aca="false">IFERROR(J102/E102,"")</f>
        <v/>
      </c>
      <c r="M102" s="14" t="n">
        <f aca="false">IFERROR(E102/$E$106,"")</f>
        <v>0</v>
      </c>
      <c r="N102" s="14" t="n">
        <f aca="false">IFERROR(F102/$F$106,"")</f>
        <v>0.00225733634311512</v>
      </c>
      <c r="O102" s="2" t="s">
        <v>440</v>
      </c>
      <c r="P102" s="11" t="n">
        <f aca="false">IF(F102=0,"",_xlfn.MINIFS(Sessions!$A:$A,Sessions!$D:$D,$A102))</f>
        <v>46261</v>
      </c>
      <c r="Q102" s="11" t="n">
        <f aca="false">IF(F102=0,"",_xlfn.MAXIFS(Sessions!$A:$A,Sessions!$D:$D,$A102))</f>
        <v>46261</v>
      </c>
      <c r="R102" s="12" t="n">
        <f aca="false">SUMIFS(Sessions!$J:$J,Sessions!$D:$D,$A102)</f>
        <v>1</v>
      </c>
    </row>
    <row r="103" customFormat="false" ht="15" hidden="false" customHeight="false" outlineLevel="0" collapsed="false">
      <c r="A103" s="2" t="s">
        <v>233</v>
      </c>
      <c r="B103" s="2" t="s">
        <v>234</v>
      </c>
      <c r="C103" s="2" t="s">
        <v>62</v>
      </c>
      <c r="D103" s="2" t="s">
        <v>232</v>
      </c>
      <c r="E103" s="12"/>
      <c r="F103" s="12" t="n">
        <f aca="false">SUMIFS(Sessions!$I:$I,Sessions!$D:$D,$A103)</f>
        <v>1</v>
      </c>
      <c r="G103" s="12" t="n">
        <f aca="false">SUMIFS(Sessions!$I:$I,Sessions!$D:$D,$A103,Sessions!$B:$B,"ChatGPT")</f>
        <v>1</v>
      </c>
      <c r="H103" s="12" t="n">
        <f aca="false">SUMIFS(Sessions!$I:$I,Sessions!$D:$D,$A103,Sessions!$B:$B,"Claude")</f>
        <v>0</v>
      </c>
      <c r="I103" s="12" t="n">
        <f aca="false">SUMIFS(Sessions!$I:$I,Sessions!$D:$D,$A103,Sessions!$B:$B,"Gemini")</f>
        <v>0</v>
      </c>
      <c r="J103" s="12" t="n">
        <f aca="false">SUMIFS(Sessions!$I:$I,Sessions!$D:$D,$A103,Sessions!$B:$B,"Copilot")</f>
        <v>0</v>
      </c>
      <c r="K103" s="14" t="str">
        <f aca="false">IFERROR(F103/E103,"")</f>
        <v/>
      </c>
      <c r="L103" s="15" t="str">
        <f aca="false">IFERROR(J103/E103,"")</f>
        <v/>
      </c>
      <c r="M103" s="14" t="n">
        <f aca="false">IFERROR(E103/$E$106,"")</f>
        <v>0</v>
      </c>
      <c r="N103" s="14" t="n">
        <f aca="false">IFERROR(F103/$F$106,"")</f>
        <v>0.00225733634311512</v>
      </c>
      <c r="O103" s="2" t="s">
        <v>440</v>
      </c>
      <c r="P103" s="11" t="n">
        <f aca="false">IF(F103=0,"",_xlfn.MINIFS(Sessions!$A:$A,Sessions!$D:$D,$A103))</f>
        <v>46244</v>
      </c>
      <c r="Q103" s="11" t="n">
        <f aca="false">IF(F103=0,"",_xlfn.MAXIFS(Sessions!$A:$A,Sessions!$D:$D,$A103))</f>
        <v>46244</v>
      </c>
      <c r="R103" s="12" t="n">
        <f aca="false">SUMIFS(Sessions!$J:$J,Sessions!$D:$D,$A103)</f>
        <v>1</v>
      </c>
    </row>
    <row r="104" customFormat="false" ht="15" hidden="false" customHeight="false" outlineLevel="0" collapsed="false">
      <c r="A104" s="2" t="s">
        <v>261</v>
      </c>
      <c r="B104" s="2" t="s">
        <v>262</v>
      </c>
      <c r="C104" s="2" t="s">
        <v>62</v>
      </c>
      <c r="D104" s="2" t="s">
        <v>260</v>
      </c>
      <c r="E104" s="12"/>
      <c r="F104" s="12" t="n">
        <f aca="false">SUMIFS(Sessions!$I:$I,Sessions!$D:$D,$A104)</f>
        <v>1</v>
      </c>
      <c r="G104" s="12" t="n">
        <f aca="false">SUMIFS(Sessions!$I:$I,Sessions!$D:$D,$A104,Sessions!$B:$B,"ChatGPT")</f>
        <v>1</v>
      </c>
      <c r="H104" s="12" t="n">
        <f aca="false">SUMIFS(Sessions!$I:$I,Sessions!$D:$D,$A104,Sessions!$B:$B,"Claude")</f>
        <v>0</v>
      </c>
      <c r="I104" s="12" t="n">
        <f aca="false">SUMIFS(Sessions!$I:$I,Sessions!$D:$D,$A104,Sessions!$B:$B,"Gemini")</f>
        <v>0</v>
      </c>
      <c r="J104" s="12" t="n">
        <f aca="false">SUMIFS(Sessions!$I:$I,Sessions!$D:$D,$A104,Sessions!$B:$B,"Copilot")</f>
        <v>0</v>
      </c>
      <c r="K104" s="14" t="str">
        <f aca="false">IFERROR(F104/E104,"")</f>
        <v/>
      </c>
      <c r="L104" s="15" t="str">
        <f aca="false">IFERROR(J104/E104,"")</f>
        <v/>
      </c>
      <c r="M104" s="14" t="n">
        <f aca="false">IFERROR(E104/$E$106,"")</f>
        <v>0</v>
      </c>
      <c r="N104" s="14" t="n">
        <f aca="false">IFERROR(F104/$F$106,"")</f>
        <v>0.00225733634311512</v>
      </c>
      <c r="O104" s="2" t="s">
        <v>440</v>
      </c>
      <c r="P104" s="11" t="n">
        <f aca="false">IF(F104=0,"",_xlfn.MINIFS(Sessions!$A:$A,Sessions!$D:$D,$A104))</f>
        <v>46248</v>
      </c>
      <c r="Q104" s="11" t="n">
        <f aca="false">IF(F104=0,"",_xlfn.MAXIFS(Sessions!$A:$A,Sessions!$D:$D,$A104))</f>
        <v>46248</v>
      </c>
      <c r="R104" s="12" t="n">
        <f aca="false">SUMIFS(Sessions!$J:$J,Sessions!$D:$D,$A104)</f>
        <v>1</v>
      </c>
    </row>
    <row r="105" customFormat="false" ht="15" hidden="false" customHeight="false" outlineLevel="0" collapsed="false">
      <c r="A105" s="2" t="s">
        <v>357</v>
      </c>
      <c r="B105" s="2" t="s">
        <v>358</v>
      </c>
      <c r="C105" s="2" t="s">
        <v>62</v>
      </c>
      <c r="D105" s="2" t="s">
        <v>356</v>
      </c>
      <c r="E105" s="12"/>
      <c r="F105" s="12" t="n">
        <f aca="false">SUMIFS(Sessions!$I:$I,Sessions!$D:$D,$A105)</f>
        <v>1</v>
      </c>
      <c r="G105" s="12" t="n">
        <f aca="false">SUMIFS(Sessions!$I:$I,Sessions!$D:$D,$A105,Sessions!$B:$B,"ChatGPT")</f>
        <v>1</v>
      </c>
      <c r="H105" s="12" t="n">
        <f aca="false">SUMIFS(Sessions!$I:$I,Sessions!$D:$D,$A105,Sessions!$B:$B,"Claude")</f>
        <v>0</v>
      </c>
      <c r="I105" s="12" t="n">
        <f aca="false">SUMIFS(Sessions!$I:$I,Sessions!$D:$D,$A105,Sessions!$B:$B,"Gemini")</f>
        <v>0</v>
      </c>
      <c r="J105" s="12" t="n">
        <f aca="false">SUMIFS(Sessions!$I:$I,Sessions!$D:$D,$A105,Sessions!$B:$B,"Copilot")</f>
        <v>0</v>
      </c>
      <c r="K105" s="14" t="str">
        <f aca="false">IFERROR(F105/E105,"")</f>
        <v/>
      </c>
      <c r="L105" s="15" t="str">
        <f aca="false">IFERROR(J105/E105,"")</f>
        <v/>
      </c>
      <c r="M105" s="14" t="n">
        <f aca="false">IFERROR(E105/$E$106,"")</f>
        <v>0</v>
      </c>
      <c r="N105" s="14" t="n">
        <f aca="false">IFERROR(F105/$F$106,"")</f>
        <v>0.00225733634311512</v>
      </c>
      <c r="O105" s="2" t="s">
        <v>440</v>
      </c>
      <c r="P105" s="11" t="n">
        <f aca="false">IF(F105=0,"",_xlfn.MINIFS(Sessions!$A:$A,Sessions!$D:$D,$A105))</f>
        <v>46272</v>
      </c>
      <c r="Q105" s="11" t="n">
        <f aca="false">IF(F105=0,"",_xlfn.MAXIFS(Sessions!$A:$A,Sessions!$D:$D,$A105))</f>
        <v>46272</v>
      </c>
      <c r="R105" s="12" t="n">
        <f aca="false">SUMIFS(Sessions!$J:$J,Sessions!$D:$D,$A105)</f>
        <v>1</v>
      </c>
    </row>
    <row r="106" customFormat="false" ht="15" hidden="false" customHeight="false" outlineLevel="0" collapsed="false">
      <c r="A106" s="16" t="s">
        <v>441</v>
      </c>
      <c r="B106" s="16"/>
      <c r="C106" s="16"/>
      <c r="D106" s="16"/>
      <c r="E106" s="17" t="n">
        <f aca="false">SUBTOTAL(109,E2:E105)</f>
        <v>9202</v>
      </c>
      <c r="F106" s="17" t="n">
        <f aca="false">SUBTOTAL(109,F2:F105)</f>
        <v>443</v>
      </c>
      <c r="G106" s="17" t="n">
        <f aca="false">SUBTOTAL(109,G2:G105)</f>
        <v>401</v>
      </c>
      <c r="H106" s="17" t="n">
        <f aca="false">SUBTOTAL(109,H2:H105)</f>
        <v>22</v>
      </c>
      <c r="I106" s="17" t="n">
        <f aca="false">SUBTOTAL(109,I2:I105)</f>
        <v>17</v>
      </c>
      <c r="J106" s="17" t="n">
        <f aca="false">SUBTOTAL(109,J2:J105)</f>
        <v>3</v>
      </c>
      <c r="K106" s="18" t="n">
        <f aca="false">IFERROR(F106/E106,"")</f>
        <v>0.0481417083242773</v>
      </c>
      <c r="L106" s="19" t="n">
        <f aca="false">IFERROR(J106/E106,"")</f>
        <v>0.000326016083460117</v>
      </c>
      <c r="M106" s="16"/>
      <c r="N106" s="16"/>
      <c r="O106" s="16"/>
      <c r="P106" s="16"/>
      <c r="Q106" s="16"/>
      <c r="R106" s="17" t="n">
        <f aca="false">SUBTOTAL(109,R2:R105)</f>
        <v>368</v>
      </c>
    </row>
    <row r="107" customFormat="false" ht="15" hidden="false" customHeight="false" outlineLevel="0" collapsed="false">
      <c r="A107" s="2"/>
      <c r="B107" s="2"/>
      <c r="C107" s="2"/>
      <c r="D107" s="2"/>
      <c r="E107" s="2"/>
      <c r="F107" s="2"/>
      <c r="G107" s="2"/>
      <c r="H107" s="2"/>
      <c r="I107" s="2"/>
      <c r="J107" s="2"/>
      <c r="K107" s="2"/>
      <c r="L107" s="2"/>
      <c r="M107" s="2"/>
      <c r="N107" s="2"/>
      <c r="O107" s="2"/>
      <c r="P107" s="2"/>
      <c r="Q107" s="2"/>
      <c r="R107" s="2"/>
    </row>
    <row r="108" customFormat="false" ht="15" hidden="false" customHeight="false" outlineLevel="0" collapsed="false">
      <c r="A108" s="13" t="s">
        <v>442</v>
      </c>
      <c r="B108" s="2"/>
      <c r="C108" s="2"/>
      <c r="D108" s="2"/>
      <c r="E108" s="2"/>
      <c r="F108" s="2"/>
      <c r="G108" s="2"/>
      <c r="H108" s="2"/>
      <c r="I108" s="2"/>
      <c r="J108" s="2"/>
      <c r="K108" s="2"/>
      <c r="L108" s="2"/>
      <c r="M108" s="2"/>
      <c r="N108" s="2"/>
      <c r="O108" s="2"/>
      <c r="P108" s="2"/>
      <c r="Q108" s="2"/>
      <c r="R108" s="2"/>
    </row>
  </sheetData>
  <autoFilter ref="A1:R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0"/>
    <col collapsed="false" customWidth="true" hidden="false" outlineLevel="0" max="4" min="4" style="0" width="9"/>
    <col collapsed="false" customWidth="true" hidden="false" outlineLevel="0" max="5" min="5" style="0" width="13"/>
    <col collapsed="false" customWidth="true" hidden="false" outlineLevel="0" max="6" min="6" style="0" width="7"/>
    <col collapsed="false" customWidth="true" hidden="false" outlineLevel="0" max="7" min="7" style="0" width="9"/>
    <col collapsed="false" customWidth="true" hidden="false" outlineLevel="0" max="8" min="8" style="0" width="14"/>
    <col collapsed="false" customWidth="true" hidden="false" outlineLevel="0" max="9" min="9" style="0" width="11"/>
    <col collapsed="false" customWidth="true" hidden="false" outlineLevel="0" max="10" min="10" style="0" width="14"/>
    <col collapsed="false" customWidth="true" hidden="false" outlineLevel="0" max="11" min="11" style="0" width="10"/>
    <col collapsed="false" customWidth="true" hidden="false" outlineLevel="0" max="14" min="12" style="0" width="9"/>
    <col collapsed="false" customWidth="true" hidden="false" outlineLevel="0" max="16" min="15" style="0" width="13"/>
    <col collapsed="false" customWidth="true" hidden="false" outlineLevel="0" max="17" min="17" style="0" width="15"/>
  </cols>
  <sheetData>
    <row r="1" customFormat="false" ht="30" hidden="false" customHeight="true" outlineLevel="0" collapsed="false">
      <c r="A1" s="10" t="s">
        <v>48</v>
      </c>
      <c r="B1" s="10" t="s">
        <v>443</v>
      </c>
      <c r="C1" s="10" t="s">
        <v>444</v>
      </c>
      <c r="D1" s="10" t="s">
        <v>445</v>
      </c>
      <c r="E1" s="10" t="s">
        <v>446</v>
      </c>
      <c r="F1" s="10" t="s">
        <v>447</v>
      </c>
      <c r="G1" s="10" t="s">
        <v>448</v>
      </c>
      <c r="H1" s="10" t="s">
        <v>370</v>
      </c>
      <c r="I1" s="10" t="s">
        <v>449</v>
      </c>
      <c r="J1" s="10" t="s">
        <v>371</v>
      </c>
      <c r="K1" s="10" t="s">
        <v>64</v>
      </c>
      <c r="L1" s="10" t="s">
        <v>58</v>
      </c>
      <c r="M1" s="10" t="s">
        <v>98</v>
      </c>
      <c r="N1" s="10" t="s">
        <v>86</v>
      </c>
      <c r="O1" s="10" t="s">
        <v>372</v>
      </c>
      <c r="P1" s="10" t="s">
        <v>373</v>
      </c>
      <c r="Q1" s="10" t="s">
        <v>450</v>
      </c>
    </row>
    <row r="2" customFormat="false" ht="15" hidden="false" customHeight="false" outlineLevel="0" collapsed="false">
      <c r="A2" s="11" t="n">
        <v>46156</v>
      </c>
      <c r="B2" s="2" t="n">
        <v>2026</v>
      </c>
      <c r="C2" s="2" t="s">
        <v>451</v>
      </c>
      <c r="D2" s="2" t="n">
        <v>20</v>
      </c>
      <c r="E2" s="11" t="n">
        <v>46153</v>
      </c>
      <c r="F2" s="2" t="s">
        <v>452</v>
      </c>
      <c r="G2" s="2" t="s">
        <v>63</v>
      </c>
      <c r="H2" s="12" t="n">
        <v>123</v>
      </c>
      <c r="I2" s="12" t="n">
        <v>15</v>
      </c>
      <c r="J2" s="12" t="n">
        <f aca="false">SUMIFS(Sessions!$I:$I,Sessions!$A:$A,$A2)</f>
        <v>0</v>
      </c>
      <c r="K2" s="12" t="n">
        <f aca="false">SUMIFS(Sessions!$I:$I,Sessions!$A:$A,$A2,Sessions!$B:$B,"ChatGPT")</f>
        <v>0</v>
      </c>
      <c r="L2" s="12" t="n">
        <f aca="false">SUMIFS(Sessions!$I:$I,Sessions!$A:$A,$A2,Sessions!$B:$B,"Claude")</f>
        <v>0</v>
      </c>
      <c r="M2" s="12" t="n">
        <f aca="false">SUMIFS(Sessions!$I:$I,Sessions!$A:$A,$A2,Sessions!$B:$B,"Gemini")</f>
        <v>0</v>
      </c>
      <c r="N2" s="12" t="n">
        <f aca="false">SUMIFS(Sessions!$I:$I,Sessions!$A:$A,$A2,Sessions!$B:$B,"Copilot")</f>
        <v>0</v>
      </c>
      <c r="O2" s="14" t="n">
        <f aca="false">IFERROR(J2/H2,"")</f>
        <v>0</v>
      </c>
      <c r="P2" s="15" t="n">
        <f aca="false">IFERROR(N2/H2,"")</f>
        <v>0</v>
      </c>
      <c r="Q2" s="2" t="s">
        <v>453</v>
      </c>
    </row>
    <row r="3" customFormat="false" ht="15" hidden="false" customHeight="false" outlineLevel="0" collapsed="false">
      <c r="A3" s="11" t="n">
        <v>46157</v>
      </c>
      <c r="B3" s="2" t="n">
        <v>2026</v>
      </c>
      <c r="C3" s="2" t="s">
        <v>451</v>
      </c>
      <c r="D3" s="2" t="n">
        <v>20</v>
      </c>
      <c r="E3" s="11" t="n">
        <v>46153</v>
      </c>
      <c r="F3" s="2" t="s">
        <v>454</v>
      </c>
      <c r="G3" s="2" t="s">
        <v>63</v>
      </c>
      <c r="H3" s="12" t="n">
        <v>34</v>
      </c>
      <c r="I3" s="12" t="n">
        <v>9</v>
      </c>
      <c r="J3" s="12" t="n">
        <f aca="false">SUMIFS(Sessions!$I:$I,Sessions!$A:$A,$A3)</f>
        <v>1</v>
      </c>
      <c r="K3" s="12" t="n">
        <f aca="false">SUMIFS(Sessions!$I:$I,Sessions!$A:$A,$A3,Sessions!$B:$B,"ChatGPT")</f>
        <v>0</v>
      </c>
      <c r="L3" s="12" t="n">
        <f aca="false">SUMIFS(Sessions!$I:$I,Sessions!$A:$A,$A3,Sessions!$B:$B,"Claude")</f>
        <v>1</v>
      </c>
      <c r="M3" s="12" t="n">
        <f aca="false">SUMIFS(Sessions!$I:$I,Sessions!$A:$A,$A3,Sessions!$B:$B,"Gemini")</f>
        <v>0</v>
      </c>
      <c r="N3" s="12" t="n">
        <f aca="false">SUMIFS(Sessions!$I:$I,Sessions!$A:$A,$A3,Sessions!$B:$B,"Copilot")</f>
        <v>0</v>
      </c>
      <c r="O3" s="14" t="n">
        <f aca="false">IFERROR(J3/H3,"")</f>
        <v>0.0294117647058824</v>
      </c>
      <c r="P3" s="15" t="n">
        <f aca="false">IFERROR(N3/H3,"")</f>
        <v>0</v>
      </c>
      <c r="Q3" s="2" t="s">
        <v>455</v>
      </c>
    </row>
    <row r="4" customFormat="false" ht="15" hidden="false" customHeight="false" outlineLevel="0" collapsed="false">
      <c r="A4" s="11" t="n">
        <v>46158</v>
      </c>
      <c r="B4" s="2" t="n">
        <v>2026</v>
      </c>
      <c r="C4" s="2" t="s">
        <v>451</v>
      </c>
      <c r="D4" s="2" t="n">
        <v>20</v>
      </c>
      <c r="E4" s="11" t="n">
        <v>46153</v>
      </c>
      <c r="F4" s="2" t="s">
        <v>456</v>
      </c>
      <c r="G4" s="2" t="s">
        <v>75</v>
      </c>
      <c r="H4" s="12" t="n">
        <v>23</v>
      </c>
      <c r="I4" s="12" t="n">
        <v>6</v>
      </c>
      <c r="J4" s="12" t="n">
        <f aca="false">SUMIFS(Sessions!$I:$I,Sessions!$A:$A,$A4)</f>
        <v>1</v>
      </c>
      <c r="K4" s="12" t="n">
        <f aca="false">SUMIFS(Sessions!$I:$I,Sessions!$A:$A,$A4,Sessions!$B:$B,"ChatGPT")</f>
        <v>1</v>
      </c>
      <c r="L4" s="12" t="n">
        <f aca="false">SUMIFS(Sessions!$I:$I,Sessions!$A:$A,$A4,Sessions!$B:$B,"Claude")</f>
        <v>0</v>
      </c>
      <c r="M4" s="12" t="n">
        <f aca="false">SUMIFS(Sessions!$I:$I,Sessions!$A:$A,$A4,Sessions!$B:$B,"Gemini")</f>
        <v>0</v>
      </c>
      <c r="N4" s="12" t="n">
        <f aca="false">SUMIFS(Sessions!$I:$I,Sessions!$A:$A,$A4,Sessions!$B:$B,"Copilot")</f>
        <v>0</v>
      </c>
      <c r="O4" s="14" t="n">
        <f aca="false">IFERROR(J4/H4,"")</f>
        <v>0.0434782608695652</v>
      </c>
      <c r="P4" s="15" t="n">
        <f aca="false">IFERROR(N4/H4,"")</f>
        <v>0</v>
      </c>
      <c r="Q4" s="2" t="s">
        <v>455</v>
      </c>
    </row>
    <row r="5" customFormat="false" ht="15" hidden="false" customHeight="false" outlineLevel="0" collapsed="false">
      <c r="A5" s="11" t="n">
        <v>46159</v>
      </c>
      <c r="B5" s="2" t="n">
        <v>2026</v>
      </c>
      <c r="C5" s="2" t="s">
        <v>451</v>
      </c>
      <c r="D5" s="2" t="n">
        <v>20</v>
      </c>
      <c r="E5" s="11" t="n">
        <v>46153</v>
      </c>
      <c r="F5" s="2" t="s">
        <v>457</v>
      </c>
      <c r="G5" s="2" t="s">
        <v>75</v>
      </c>
      <c r="H5" s="12" t="n">
        <v>79</v>
      </c>
      <c r="I5" s="12" t="n">
        <v>14</v>
      </c>
      <c r="J5" s="12" t="n">
        <f aca="false">SUMIFS(Sessions!$I:$I,Sessions!$A:$A,$A5)</f>
        <v>0</v>
      </c>
      <c r="K5" s="12" t="n">
        <f aca="false">SUMIFS(Sessions!$I:$I,Sessions!$A:$A,$A5,Sessions!$B:$B,"ChatGPT")</f>
        <v>0</v>
      </c>
      <c r="L5" s="12" t="n">
        <f aca="false">SUMIFS(Sessions!$I:$I,Sessions!$A:$A,$A5,Sessions!$B:$B,"Claude")</f>
        <v>0</v>
      </c>
      <c r="M5" s="12" t="n">
        <f aca="false">SUMIFS(Sessions!$I:$I,Sessions!$A:$A,$A5,Sessions!$B:$B,"Gemini")</f>
        <v>0</v>
      </c>
      <c r="N5" s="12" t="n">
        <f aca="false">SUMIFS(Sessions!$I:$I,Sessions!$A:$A,$A5,Sessions!$B:$B,"Copilot")</f>
        <v>0</v>
      </c>
      <c r="O5" s="14" t="n">
        <f aca="false">IFERROR(J5/H5,"")</f>
        <v>0</v>
      </c>
      <c r="P5" s="15" t="n">
        <f aca="false">IFERROR(N5/H5,"")</f>
        <v>0</v>
      </c>
      <c r="Q5" s="2" t="s">
        <v>455</v>
      </c>
    </row>
    <row r="6" customFormat="false" ht="15" hidden="false" customHeight="false" outlineLevel="0" collapsed="false">
      <c r="A6" s="11" t="n">
        <v>46160</v>
      </c>
      <c r="B6" s="2" t="n">
        <v>2026</v>
      </c>
      <c r="C6" s="2" t="s">
        <v>451</v>
      </c>
      <c r="D6" s="2" t="n">
        <v>21</v>
      </c>
      <c r="E6" s="11" t="n">
        <v>46160</v>
      </c>
      <c r="F6" s="2" t="s">
        <v>458</v>
      </c>
      <c r="G6" s="2" t="s">
        <v>63</v>
      </c>
      <c r="H6" s="12" t="n">
        <v>54</v>
      </c>
      <c r="I6" s="12" t="n">
        <v>15</v>
      </c>
      <c r="J6" s="12" t="n">
        <f aca="false">SUMIFS(Sessions!$I:$I,Sessions!$A:$A,$A6)</f>
        <v>1</v>
      </c>
      <c r="K6" s="12" t="n">
        <f aca="false">SUMIFS(Sessions!$I:$I,Sessions!$A:$A,$A6,Sessions!$B:$B,"ChatGPT")</f>
        <v>0</v>
      </c>
      <c r="L6" s="12" t="n">
        <f aca="false">SUMIFS(Sessions!$I:$I,Sessions!$A:$A,$A6,Sessions!$B:$B,"Claude")</f>
        <v>1</v>
      </c>
      <c r="M6" s="12" t="n">
        <f aca="false">SUMIFS(Sessions!$I:$I,Sessions!$A:$A,$A6,Sessions!$B:$B,"Gemini")</f>
        <v>0</v>
      </c>
      <c r="N6" s="12" t="n">
        <f aca="false">SUMIFS(Sessions!$I:$I,Sessions!$A:$A,$A6,Sessions!$B:$B,"Copilot")</f>
        <v>0</v>
      </c>
      <c r="O6" s="14" t="n">
        <f aca="false">IFERROR(J6/H6,"")</f>
        <v>0.0185185185185185</v>
      </c>
      <c r="P6" s="15" t="n">
        <f aca="false">IFERROR(N6/H6,"")</f>
        <v>0</v>
      </c>
      <c r="Q6" s="2" t="s">
        <v>455</v>
      </c>
    </row>
    <row r="7" customFormat="false" ht="15" hidden="false" customHeight="false" outlineLevel="0" collapsed="false">
      <c r="A7" s="11" t="n">
        <v>46161</v>
      </c>
      <c r="B7" s="2" t="n">
        <v>2026</v>
      </c>
      <c r="C7" s="2" t="s">
        <v>451</v>
      </c>
      <c r="D7" s="2" t="n">
        <v>21</v>
      </c>
      <c r="E7" s="11" t="n">
        <v>46160</v>
      </c>
      <c r="F7" s="2" t="s">
        <v>459</v>
      </c>
      <c r="G7" s="2" t="s">
        <v>63</v>
      </c>
      <c r="H7" s="12" t="n">
        <v>84</v>
      </c>
      <c r="I7" s="12" t="n">
        <v>14</v>
      </c>
      <c r="J7" s="12" t="n">
        <f aca="false">SUMIFS(Sessions!$I:$I,Sessions!$A:$A,$A7)</f>
        <v>2</v>
      </c>
      <c r="K7" s="12" t="n">
        <f aca="false">SUMIFS(Sessions!$I:$I,Sessions!$A:$A,$A7,Sessions!$B:$B,"ChatGPT")</f>
        <v>2</v>
      </c>
      <c r="L7" s="12" t="n">
        <f aca="false">SUMIFS(Sessions!$I:$I,Sessions!$A:$A,$A7,Sessions!$B:$B,"Claude")</f>
        <v>0</v>
      </c>
      <c r="M7" s="12" t="n">
        <f aca="false">SUMIFS(Sessions!$I:$I,Sessions!$A:$A,$A7,Sessions!$B:$B,"Gemini")</f>
        <v>0</v>
      </c>
      <c r="N7" s="12" t="n">
        <f aca="false">SUMIFS(Sessions!$I:$I,Sessions!$A:$A,$A7,Sessions!$B:$B,"Copilot")</f>
        <v>0</v>
      </c>
      <c r="O7" s="14" t="n">
        <f aca="false">IFERROR(J7/H7,"")</f>
        <v>0.0238095238095238</v>
      </c>
      <c r="P7" s="15" t="n">
        <f aca="false">IFERROR(N7/H7,"")</f>
        <v>0</v>
      </c>
      <c r="Q7" s="2" t="s">
        <v>455</v>
      </c>
    </row>
    <row r="8" customFormat="false" ht="15" hidden="false" customHeight="false" outlineLevel="0" collapsed="false">
      <c r="A8" s="11" t="n">
        <v>46162</v>
      </c>
      <c r="B8" s="2" t="n">
        <v>2026</v>
      </c>
      <c r="C8" s="2" t="s">
        <v>451</v>
      </c>
      <c r="D8" s="2" t="n">
        <v>21</v>
      </c>
      <c r="E8" s="11" t="n">
        <v>46160</v>
      </c>
      <c r="F8" s="2" t="s">
        <v>460</v>
      </c>
      <c r="G8" s="2" t="s">
        <v>63</v>
      </c>
      <c r="H8" s="12" t="n">
        <v>64</v>
      </c>
      <c r="I8" s="12" t="n">
        <v>9</v>
      </c>
      <c r="J8" s="12" t="n">
        <f aca="false">SUMIFS(Sessions!$I:$I,Sessions!$A:$A,$A8)</f>
        <v>2</v>
      </c>
      <c r="K8" s="12" t="n">
        <f aca="false">SUMIFS(Sessions!$I:$I,Sessions!$A:$A,$A8,Sessions!$B:$B,"ChatGPT")</f>
        <v>2</v>
      </c>
      <c r="L8" s="12" t="n">
        <f aca="false">SUMIFS(Sessions!$I:$I,Sessions!$A:$A,$A8,Sessions!$B:$B,"Claude")</f>
        <v>0</v>
      </c>
      <c r="M8" s="12" t="n">
        <f aca="false">SUMIFS(Sessions!$I:$I,Sessions!$A:$A,$A8,Sessions!$B:$B,"Gemini")</f>
        <v>0</v>
      </c>
      <c r="N8" s="12" t="n">
        <f aca="false">SUMIFS(Sessions!$I:$I,Sessions!$A:$A,$A8,Sessions!$B:$B,"Copilot")</f>
        <v>0</v>
      </c>
      <c r="O8" s="14" t="n">
        <f aca="false">IFERROR(J8/H8,"")</f>
        <v>0.03125</v>
      </c>
      <c r="P8" s="15" t="n">
        <f aca="false">IFERROR(N8/H8,"")</f>
        <v>0</v>
      </c>
      <c r="Q8" s="2" t="s">
        <v>455</v>
      </c>
    </row>
    <row r="9" customFormat="false" ht="15" hidden="false" customHeight="false" outlineLevel="0" collapsed="false">
      <c r="A9" s="11" t="n">
        <v>46163</v>
      </c>
      <c r="B9" s="2" t="n">
        <v>2026</v>
      </c>
      <c r="C9" s="2" t="s">
        <v>451</v>
      </c>
      <c r="D9" s="2" t="n">
        <v>21</v>
      </c>
      <c r="E9" s="11" t="n">
        <v>46160</v>
      </c>
      <c r="F9" s="2" t="s">
        <v>452</v>
      </c>
      <c r="G9" s="2" t="s">
        <v>63</v>
      </c>
      <c r="H9" s="12" t="n">
        <v>74</v>
      </c>
      <c r="I9" s="12" t="n">
        <v>12</v>
      </c>
      <c r="J9" s="12" t="n">
        <f aca="false">SUMIFS(Sessions!$I:$I,Sessions!$A:$A,$A9)</f>
        <v>3</v>
      </c>
      <c r="K9" s="12" t="n">
        <f aca="false">SUMIFS(Sessions!$I:$I,Sessions!$A:$A,$A9,Sessions!$B:$B,"ChatGPT")</f>
        <v>3</v>
      </c>
      <c r="L9" s="12" t="n">
        <f aca="false">SUMIFS(Sessions!$I:$I,Sessions!$A:$A,$A9,Sessions!$B:$B,"Claude")</f>
        <v>0</v>
      </c>
      <c r="M9" s="12" t="n">
        <f aca="false">SUMIFS(Sessions!$I:$I,Sessions!$A:$A,$A9,Sessions!$B:$B,"Gemini")</f>
        <v>0</v>
      </c>
      <c r="N9" s="12" t="n">
        <f aca="false">SUMIFS(Sessions!$I:$I,Sessions!$A:$A,$A9,Sessions!$B:$B,"Copilot")</f>
        <v>0</v>
      </c>
      <c r="O9" s="14" t="n">
        <f aca="false">IFERROR(J9/H9,"")</f>
        <v>0.0405405405405405</v>
      </c>
      <c r="P9" s="15" t="n">
        <f aca="false">IFERROR(N9/H9,"")</f>
        <v>0</v>
      </c>
      <c r="Q9" s="2" t="s">
        <v>455</v>
      </c>
    </row>
    <row r="10" customFormat="false" ht="15" hidden="false" customHeight="false" outlineLevel="0" collapsed="false">
      <c r="A10" s="11" t="n">
        <v>46164</v>
      </c>
      <c r="B10" s="2" t="n">
        <v>2026</v>
      </c>
      <c r="C10" s="2" t="s">
        <v>451</v>
      </c>
      <c r="D10" s="2" t="n">
        <v>21</v>
      </c>
      <c r="E10" s="11" t="n">
        <v>46160</v>
      </c>
      <c r="F10" s="2" t="s">
        <v>454</v>
      </c>
      <c r="G10" s="2" t="s">
        <v>63</v>
      </c>
      <c r="H10" s="12" t="n">
        <v>28</v>
      </c>
      <c r="I10" s="12" t="n">
        <v>7</v>
      </c>
      <c r="J10" s="12" t="n">
        <f aca="false">SUMIFS(Sessions!$I:$I,Sessions!$A:$A,$A10)</f>
        <v>2</v>
      </c>
      <c r="K10" s="12" t="n">
        <f aca="false">SUMIFS(Sessions!$I:$I,Sessions!$A:$A,$A10,Sessions!$B:$B,"ChatGPT")</f>
        <v>1</v>
      </c>
      <c r="L10" s="12" t="n">
        <f aca="false">SUMIFS(Sessions!$I:$I,Sessions!$A:$A,$A10,Sessions!$B:$B,"Claude")</f>
        <v>0</v>
      </c>
      <c r="M10" s="12" t="n">
        <f aca="false">SUMIFS(Sessions!$I:$I,Sessions!$A:$A,$A10,Sessions!$B:$B,"Gemini")</f>
        <v>0</v>
      </c>
      <c r="N10" s="12" t="n">
        <f aca="false">SUMIFS(Sessions!$I:$I,Sessions!$A:$A,$A10,Sessions!$B:$B,"Copilot")</f>
        <v>1</v>
      </c>
      <c r="O10" s="14" t="n">
        <f aca="false">IFERROR(J10/H10,"")</f>
        <v>0.0714285714285714</v>
      </c>
      <c r="P10" s="15" t="n">
        <f aca="false">IFERROR(N10/H10,"")</f>
        <v>0.0357142857142857</v>
      </c>
      <c r="Q10" s="2" t="s">
        <v>455</v>
      </c>
    </row>
    <row r="11" customFormat="false" ht="15" hidden="false" customHeight="false" outlineLevel="0" collapsed="false">
      <c r="A11" s="11" t="n">
        <v>46165</v>
      </c>
      <c r="B11" s="2" t="n">
        <v>2026</v>
      </c>
      <c r="C11" s="2" t="s">
        <v>451</v>
      </c>
      <c r="D11" s="2" t="n">
        <v>21</v>
      </c>
      <c r="E11" s="11" t="n">
        <v>46160</v>
      </c>
      <c r="F11" s="2" t="s">
        <v>456</v>
      </c>
      <c r="G11" s="2" t="s">
        <v>75</v>
      </c>
      <c r="H11" s="12" t="n">
        <v>22</v>
      </c>
      <c r="I11" s="12" t="n">
        <v>6</v>
      </c>
      <c r="J11" s="12" t="n">
        <f aca="false">SUMIFS(Sessions!$I:$I,Sessions!$A:$A,$A11)</f>
        <v>0</v>
      </c>
      <c r="K11" s="12" t="n">
        <f aca="false">SUMIFS(Sessions!$I:$I,Sessions!$A:$A,$A11,Sessions!$B:$B,"ChatGPT")</f>
        <v>0</v>
      </c>
      <c r="L11" s="12" t="n">
        <f aca="false">SUMIFS(Sessions!$I:$I,Sessions!$A:$A,$A11,Sessions!$B:$B,"Claude")</f>
        <v>0</v>
      </c>
      <c r="M11" s="12" t="n">
        <f aca="false">SUMIFS(Sessions!$I:$I,Sessions!$A:$A,$A11,Sessions!$B:$B,"Gemini")</f>
        <v>0</v>
      </c>
      <c r="N11" s="12" t="n">
        <f aca="false">SUMIFS(Sessions!$I:$I,Sessions!$A:$A,$A11,Sessions!$B:$B,"Copilot")</f>
        <v>0</v>
      </c>
      <c r="O11" s="14" t="n">
        <f aca="false">IFERROR(J11/H11,"")</f>
        <v>0</v>
      </c>
      <c r="P11" s="15" t="n">
        <f aca="false">IFERROR(N11/H11,"")</f>
        <v>0</v>
      </c>
      <c r="Q11" s="2" t="s">
        <v>455</v>
      </c>
    </row>
    <row r="12" customFormat="false" ht="15" hidden="false" customHeight="false" outlineLevel="0" collapsed="false">
      <c r="A12" s="11" t="n">
        <v>46166</v>
      </c>
      <c r="B12" s="2" t="n">
        <v>2026</v>
      </c>
      <c r="C12" s="2" t="s">
        <v>451</v>
      </c>
      <c r="D12" s="2" t="n">
        <v>21</v>
      </c>
      <c r="E12" s="11" t="n">
        <v>46160</v>
      </c>
      <c r="F12" s="2" t="s">
        <v>457</v>
      </c>
      <c r="G12" s="2" t="s">
        <v>75</v>
      </c>
      <c r="H12" s="12" t="n">
        <v>23</v>
      </c>
      <c r="I12" s="12" t="n">
        <v>8</v>
      </c>
      <c r="J12" s="12" t="n">
        <f aca="false">SUMIFS(Sessions!$I:$I,Sessions!$A:$A,$A12)</f>
        <v>0</v>
      </c>
      <c r="K12" s="12" t="n">
        <f aca="false">SUMIFS(Sessions!$I:$I,Sessions!$A:$A,$A12,Sessions!$B:$B,"ChatGPT")</f>
        <v>0</v>
      </c>
      <c r="L12" s="12" t="n">
        <f aca="false">SUMIFS(Sessions!$I:$I,Sessions!$A:$A,$A12,Sessions!$B:$B,"Claude")</f>
        <v>0</v>
      </c>
      <c r="M12" s="12" t="n">
        <f aca="false">SUMIFS(Sessions!$I:$I,Sessions!$A:$A,$A12,Sessions!$B:$B,"Gemini")</f>
        <v>0</v>
      </c>
      <c r="N12" s="12" t="n">
        <f aca="false">SUMIFS(Sessions!$I:$I,Sessions!$A:$A,$A12,Sessions!$B:$B,"Copilot")</f>
        <v>0</v>
      </c>
      <c r="O12" s="14" t="n">
        <f aca="false">IFERROR(J12/H12,"")</f>
        <v>0</v>
      </c>
      <c r="P12" s="15" t="n">
        <f aca="false">IFERROR(N12/H12,"")</f>
        <v>0</v>
      </c>
      <c r="Q12" s="2" t="s">
        <v>455</v>
      </c>
    </row>
    <row r="13" customFormat="false" ht="15" hidden="false" customHeight="false" outlineLevel="0" collapsed="false">
      <c r="A13" s="11" t="n">
        <v>46167</v>
      </c>
      <c r="B13" s="2" t="n">
        <v>2026</v>
      </c>
      <c r="C13" s="2" t="s">
        <v>451</v>
      </c>
      <c r="D13" s="2" t="n">
        <v>22</v>
      </c>
      <c r="E13" s="11" t="n">
        <v>46167</v>
      </c>
      <c r="F13" s="2" t="s">
        <v>458</v>
      </c>
      <c r="G13" s="2" t="s">
        <v>63</v>
      </c>
      <c r="H13" s="12" t="n">
        <v>78</v>
      </c>
      <c r="I13" s="12" t="n">
        <v>18</v>
      </c>
      <c r="J13" s="12" t="n">
        <f aca="false">SUMIFS(Sessions!$I:$I,Sessions!$A:$A,$A13)</f>
        <v>2</v>
      </c>
      <c r="K13" s="12" t="n">
        <f aca="false">SUMIFS(Sessions!$I:$I,Sessions!$A:$A,$A13,Sessions!$B:$B,"ChatGPT")</f>
        <v>1</v>
      </c>
      <c r="L13" s="12" t="n">
        <f aca="false">SUMIFS(Sessions!$I:$I,Sessions!$A:$A,$A13,Sessions!$B:$B,"Claude")</f>
        <v>1</v>
      </c>
      <c r="M13" s="12" t="n">
        <f aca="false">SUMIFS(Sessions!$I:$I,Sessions!$A:$A,$A13,Sessions!$B:$B,"Gemini")</f>
        <v>0</v>
      </c>
      <c r="N13" s="12" t="n">
        <f aca="false">SUMIFS(Sessions!$I:$I,Sessions!$A:$A,$A13,Sessions!$B:$B,"Copilot")</f>
        <v>0</v>
      </c>
      <c r="O13" s="14" t="n">
        <f aca="false">IFERROR(J13/H13,"")</f>
        <v>0.0256410256410256</v>
      </c>
      <c r="P13" s="15" t="n">
        <f aca="false">IFERROR(N13/H13,"")</f>
        <v>0</v>
      </c>
      <c r="Q13" s="2" t="s">
        <v>455</v>
      </c>
    </row>
    <row r="14" customFormat="false" ht="15" hidden="false" customHeight="false" outlineLevel="0" collapsed="false">
      <c r="A14" s="11" t="n">
        <v>46168</v>
      </c>
      <c r="B14" s="2" t="n">
        <v>2026</v>
      </c>
      <c r="C14" s="2" t="s">
        <v>451</v>
      </c>
      <c r="D14" s="2" t="n">
        <v>22</v>
      </c>
      <c r="E14" s="11" t="n">
        <v>46167</v>
      </c>
      <c r="F14" s="2" t="s">
        <v>459</v>
      </c>
      <c r="G14" s="2" t="s">
        <v>63</v>
      </c>
      <c r="H14" s="12" t="n">
        <v>51</v>
      </c>
      <c r="I14" s="12" t="n">
        <v>14</v>
      </c>
      <c r="J14" s="12" t="n">
        <f aca="false">SUMIFS(Sessions!$I:$I,Sessions!$A:$A,$A14)</f>
        <v>4</v>
      </c>
      <c r="K14" s="12" t="n">
        <f aca="false">SUMIFS(Sessions!$I:$I,Sessions!$A:$A,$A14,Sessions!$B:$B,"ChatGPT")</f>
        <v>1</v>
      </c>
      <c r="L14" s="12" t="n">
        <f aca="false">SUMIFS(Sessions!$I:$I,Sessions!$A:$A,$A14,Sessions!$B:$B,"Claude")</f>
        <v>0</v>
      </c>
      <c r="M14" s="12" t="n">
        <f aca="false">SUMIFS(Sessions!$I:$I,Sessions!$A:$A,$A14,Sessions!$B:$B,"Gemini")</f>
        <v>3</v>
      </c>
      <c r="N14" s="12" t="n">
        <f aca="false">SUMIFS(Sessions!$I:$I,Sessions!$A:$A,$A14,Sessions!$B:$B,"Copilot")</f>
        <v>0</v>
      </c>
      <c r="O14" s="14" t="n">
        <f aca="false">IFERROR(J14/H14,"")</f>
        <v>0.0784313725490196</v>
      </c>
      <c r="P14" s="15" t="n">
        <f aca="false">IFERROR(N14/H14,"")</f>
        <v>0</v>
      </c>
      <c r="Q14" s="2" t="s">
        <v>455</v>
      </c>
    </row>
    <row r="15" customFormat="false" ht="15" hidden="false" customHeight="false" outlineLevel="0" collapsed="false">
      <c r="A15" s="11" t="n">
        <v>46169</v>
      </c>
      <c r="B15" s="2" t="n">
        <v>2026</v>
      </c>
      <c r="C15" s="2" t="s">
        <v>451</v>
      </c>
      <c r="D15" s="2" t="n">
        <v>22</v>
      </c>
      <c r="E15" s="11" t="n">
        <v>46167</v>
      </c>
      <c r="F15" s="2" t="s">
        <v>460</v>
      </c>
      <c r="G15" s="2" t="s">
        <v>63</v>
      </c>
      <c r="H15" s="12" t="n">
        <v>40</v>
      </c>
      <c r="I15" s="12" t="n">
        <v>11</v>
      </c>
      <c r="J15" s="12" t="n">
        <f aca="false">SUMIFS(Sessions!$I:$I,Sessions!$A:$A,$A15)</f>
        <v>4</v>
      </c>
      <c r="K15" s="12" t="n">
        <f aca="false">SUMIFS(Sessions!$I:$I,Sessions!$A:$A,$A15,Sessions!$B:$B,"ChatGPT")</f>
        <v>3</v>
      </c>
      <c r="L15" s="12" t="n">
        <f aca="false">SUMIFS(Sessions!$I:$I,Sessions!$A:$A,$A15,Sessions!$B:$B,"Claude")</f>
        <v>1</v>
      </c>
      <c r="M15" s="12" t="n">
        <f aca="false">SUMIFS(Sessions!$I:$I,Sessions!$A:$A,$A15,Sessions!$B:$B,"Gemini")</f>
        <v>0</v>
      </c>
      <c r="N15" s="12" t="n">
        <f aca="false">SUMIFS(Sessions!$I:$I,Sessions!$A:$A,$A15,Sessions!$B:$B,"Copilot")</f>
        <v>0</v>
      </c>
      <c r="O15" s="14" t="n">
        <f aca="false">IFERROR(J15/H15,"")</f>
        <v>0.1</v>
      </c>
      <c r="P15" s="15" t="n">
        <f aca="false">IFERROR(N15/H15,"")</f>
        <v>0</v>
      </c>
      <c r="Q15" s="2" t="s">
        <v>455</v>
      </c>
    </row>
    <row r="16" customFormat="false" ht="15" hidden="false" customHeight="false" outlineLevel="0" collapsed="false">
      <c r="A16" s="11" t="n">
        <v>46170</v>
      </c>
      <c r="B16" s="2" t="n">
        <v>2026</v>
      </c>
      <c r="C16" s="2" t="s">
        <v>451</v>
      </c>
      <c r="D16" s="2" t="n">
        <v>22</v>
      </c>
      <c r="E16" s="11" t="n">
        <v>46167</v>
      </c>
      <c r="F16" s="2" t="s">
        <v>452</v>
      </c>
      <c r="G16" s="2" t="s">
        <v>63</v>
      </c>
      <c r="H16" s="12" t="n">
        <v>48</v>
      </c>
      <c r="I16" s="12" t="n">
        <v>12</v>
      </c>
      <c r="J16" s="12" t="n">
        <f aca="false">SUMIFS(Sessions!$I:$I,Sessions!$A:$A,$A16)</f>
        <v>4</v>
      </c>
      <c r="K16" s="12" t="n">
        <f aca="false">SUMIFS(Sessions!$I:$I,Sessions!$A:$A,$A16,Sessions!$B:$B,"ChatGPT")</f>
        <v>4</v>
      </c>
      <c r="L16" s="12" t="n">
        <f aca="false">SUMIFS(Sessions!$I:$I,Sessions!$A:$A,$A16,Sessions!$B:$B,"Claude")</f>
        <v>0</v>
      </c>
      <c r="M16" s="12" t="n">
        <f aca="false">SUMIFS(Sessions!$I:$I,Sessions!$A:$A,$A16,Sessions!$B:$B,"Gemini")</f>
        <v>0</v>
      </c>
      <c r="N16" s="12" t="n">
        <f aca="false">SUMIFS(Sessions!$I:$I,Sessions!$A:$A,$A16,Sessions!$B:$B,"Copilot")</f>
        <v>0</v>
      </c>
      <c r="O16" s="14" t="n">
        <f aca="false">IFERROR(J16/H16,"")</f>
        <v>0.0833333333333333</v>
      </c>
      <c r="P16" s="15" t="n">
        <f aca="false">IFERROR(N16/H16,"")</f>
        <v>0</v>
      </c>
      <c r="Q16" s="2" t="s">
        <v>455</v>
      </c>
    </row>
    <row r="17" customFormat="false" ht="15" hidden="false" customHeight="false" outlineLevel="0" collapsed="false">
      <c r="A17" s="11" t="n">
        <v>46171</v>
      </c>
      <c r="B17" s="2" t="n">
        <v>2026</v>
      </c>
      <c r="C17" s="2" t="s">
        <v>451</v>
      </c>
      <c r="D17" s="2" t="n">
        <v>22</v>
      </c>
      <c r="E17" s="11" t="n">
        <v>46167</v>
      </c>
      <c r="F17" s="2" t="s">
        <v>454</v>
      </c>
      <c r="G17" s="2" t="s">
        <v>63</v>
      </c>
      <c r="H17" s="12" t="n">
        <v>45</v>
      </c>
      <c r="I17" s="12" t="n">
        <v>8</v>
      </c>
      <c r="J17" s="12" t="n">
        <f aca="false">SUMIFS(Sessions!$I:$I,Sessions!$A:$A,$A17)</f>
        <v>1</v>
      </c>
      <c r="K17" s="12" t="n">
        <f aca="false">SUMIFS(Sessions!$I:$I,Sessions!$A:$A,$A17,Sessions!$B:$B,"ChatGPT")</f>
        <v>1</v>
      </c>
      <c r="L17" s="12" t="n">
        <f aca="false">SUMIFS(Sessions!$I:$I,Sessions!$A:$A,$A17,Sessions!$B:$B,"Claude")</f>
        <v>0</v>
      </c>
      <c r="M17" s="12" t="n">
        <f aca="false">SUMIFS(Sessions!$I:$I,Sessions!$A:$A,$A17,Sessions!$B:$B,"Gemini")</f>
        <v>0</v>
      </c>
      <c r="N17" s="12" t="n">
        <f aca="false">SUMIFS(Sessions!$I:$I,Sessions!$A:$A,$A17,Sessions!$B:$B,"Copilot")</f>
        <v>0</v>
      </c>
      <c r="O17" s="14" t="n">
        <f aca="false">IFERROR(J17/H17,"")</f>
        <v>0.0222222222222222</v>
      </c>
      <c r="P17" s="15" t="n">
        <f aca="false">IFERROR(N17/H17,"")</f>
        <v>0</v>
      </c>
      <c r="Q17" s="2" t="s">
        <v>455</v>
      </c>
    </row>
    <row r="18" customFormat="false" ht="15" hidden="false" customHeight="false" outlineLevel="0" collapsed="false">
      <c r="A18" s="11" t="n">
        <v>46172</v>
      </c>
      <c r="B18" s="2" t="n">
        <v>2026</v>
      </c>
      <c r="C18" s="2" t="s">
        <v>451</v>
      </c>
      <c r="D18" s="2" t="n">
        <v>22</v>
      </c>
      <c r="E18" s="11" t="n">
        <v>46167</v>
      </c>
      <c r="F18" s="2" t="s">
        <v>456</v>
      </c>
      <c r="G18" s="2" t="s">
        <v>75</v>
      </c>
      <c r="H18" s="12" t="n">
        <v>8</v>
      </c>
      <c r="I18" s="12" t="n">
        <v>5</v>
      </c>
      <c r="J18" s="12" t="n">
        <f aca="false">SUMIFS(Sessions!$I:$I,Sessions!$A:$A,$A18)</f>
        <v>0</v>
      </c>
      <c r="K18" s="12" t="n">
        <f aca="false">SUMIFS(Sessions!$I:$I,Sessions!$A:$A,$A18,Sessions!$B:$B,"ChatGPT")</f>
        <v>0</v>
      </c>
      <c r="L18" s="12" t="n">
        <f aca="false">SUMIFS(Sessions!$I:$I,Sessions!$A:$A,$A18,Sessions!$B:$B,"Claude")</f>
        <v>0</v>
      </c>
      <c r="M18" s="12" t="n">
        <f aca="false">SUMIFS(Sessions!$I:$I,Sessions!$A:$A,$A18,Sessions!$B:$B,"Gemini")</f>
        <v>0</v>
      </c>
      <c r="N18" s="12" t="n">
        <f aca="false">SUMIFS(Sessions!$I:$I,Sessions!$A:$A,$A18,Sessions!$B:$B,"Copilot")</f>
        <v>0</v>
      </c>
      <c r="O18" s="14" t="n">
        <f aca="false">IFERROR(J18/H18,"")</f>
        <v>0</v>
      </c>
      <c r="P18" s="15" t="n">
        <f aca="false">IFERROR(N18/H18,"")</f>
        <v>0</v>
      </c>
      <c r="Q18" s="2" t="s">
        <v>455</v>
      </c>
    </row>
    <row r="19" customFormat="false" ht="15" hidden="false" customHeight="false" outlineLevel="0" collapsed="false">
      <c r="A19" s="11" t="n">
        <v>46173</v>
      </c>
      <c r="B19" s="2" t="n">
        <v>2026</v>
      </c>
      <c r="C19" s="2" t="s">
        <v>451</v>
      </c>
      <c r="D19" s="2" t="n">
        <v>22</v>
      </c>
      <c r="E19" s="11" t="n">
        <v>46167</v>
      </c>
      <c r="F19" s="2" t="s">
        <v>457</v>
      </c>
      <c r="G19" s="2" t="s">
        <v>75</v>
      </c>
      <c r="H19" s="12" t="n">
        <v>44</v>
      </c>
      <c r="I19" s="12" t="n">
        <v>12</v>
      </c>
      <c r="J19" s="12" t="n">
        <f aca="false">SUMIFS(Sessions!$I:$I,Sessions!$A:$A,$A19)</f>
        <v>0</v>
      </c>
      <c r="K19" s="12" t="n">
        <f aca="false">SUMIFS(Sessions!$I:$I,Sessions!$A:$A,$A19,Sessions!$B:$B,"ChatGPT")</f>
        <v>0</v>
      </c>
      <c r="L19" s="12" t="n">
        <f aca="false">SUMIFS(Sessions!$I:$I,Sessions!$A:$A,$A19,Sessions!$B:$B,"Claude")</f>
        <v>0</v>
      </c>
      <c r="M19" s="12" t="n">
        <f aca="false">SUMIFS(Sessions!$I:$I,Sessions!$A:$A,$A19,Sessions!$B:$B,"Gemini")</f>
        <v>0</v>
      </c>
      <c r="N19" s="12" t="n">
        <f aca="false">SUMIFS(Sessions!$I:$I,Sessions!$A:$A,$A19,Sessions!$B:$B,"Copilot")</f>
        <v>0</v>
      </c>
      <c r="O19" s="14" t="n">
        <f aca="false">IFERROR(J19/H19,"")</f>
        <v>0</v>
      </c>
      <c r="P19" s="15" t="n">
        <f aca="false">IFERROR(N19/H19,"")</f>
        <v>0</v>
      </c>
      <c r="Q19" s="2" t="s">
        <v>455</v>
      </c>
    </row>
    <row r="20" customFormat="false" ht="15" hidden="false" customHeight="false" outlineLevel="0" collapsed="false">
      <c r="A20" s="11" t="n">
        <v>46174</v>
      </c>
      <c r="B20" s="2" t="n">
        <v>2026</v>
      </c>
      <c r="C20" s="2" t="s">
        <v>461</v>
      </c>
      <c r="D20" s="2" t="n">
        <v>23</v>
      </c>
      <c r="E20" s="11" t="n">
        <v>46174</v>
      </c>
      <c r="F20" s="2" t="s">
        <v>458</v>
      </c>
      <c r="G20" s="2" t="s">
        <v>63</v>
      </c>
      <c r="H20" s="12" t="n">
        <v>90</v>
      </c>
      <c r="I20" s="12" t="n">
        <v>15</v>
      </c>
      <c r="J20" s="12" t="n">
        <f aca="false">SUMIFS(Sessions!$I:$I,Sessions!$A:$A,$A20)</f>
        <v>1</v>
      </c>
      <c r="K20" s="12" t="n">
        <f aca="false">SUMIFS(Sessions!$I:$I,Sessions!$A:$A,$A20,Sessions!$B:$B,"ChatGPT")</f>
        <v>0</v>
      </c>
      <c r="L20" s="12" t="n">
        <f aca="false">SUMIFS(Sessions!$I:$I,Sessions!$A:$A,$A20,Sessions!$B:$B,"Claude")</f>
        <v>0</v>
      </c>
      <c r="M20" s="12" t="n">
        <f aca="false">SUMIFS(Sessions!$I:$I,Sessions!$A:$A,$A20,Sessions!$B:$B,"Gemini")</f>
        <v>0</v>
      </c>
      <c r="N20" s="12" t="n">
        <f aca="false">SUMIFS(Sessions!$I:$I,Sessions!$A:$A,$A20,Sessions!$B:$B,"Copilot")</f>
        <v>1</v>
      </c>
      <c r="O20" s="14" t="n">
        <f aca="false">IFERROR(J20/H20,"")</f>
        <v>0.0111111111111111</v>
      </c>
      <c r="P20" s="15" t="n">
        <f aca="false">IFERROR(N20/H20,"")</f>
        <v>0.0111111111111111</v>
      </c>
      <c r="Q20" s="2" t="s">
        <v>455</v>
      </c>
    </row>
    <row r="21" customFormat="false" ht="15" hidden="false" customHeight="false" outlineLevel="0" collapsed="false">
      <c r="A21" s="11" t="n">
        <v>46175</v>
      </c>
      <c r="B21" s="2" t="n">
        <v>2026</v>
      </c>
      <c r="C21" s="2" t="s">
        <v>461</v>
      </c>
      <c r="D21" s="2" t="n">
        <v>23</v>
      </c>
      <c r="E21" s="11" t="n">
        <v>46174</v>
      </c>
      <c r="F21" s="2" t="s">
        <v>459</v>
      </c>
      <c r="G21" s="2" t="s">
        <v>63</v>
      </c>
      <c r="H21" s="12" t="n">
        <v>100</v>
      </c>
      <c r="I21" s="12" t="n">
        <v>20</v>
      </c>
      <c r="J21" s="12" t="n">
        <f aca="false">SUMIFS(Sessions!$I:$I,Sessions!$A:$A,$A21)</f>
        <v>5</v>
      </c>
      <c r="K21" s="12" t="n">
        <f aca="false">SUMIFS(Sessions!$I:$I,Sessions!$A:$A,$A21,Sessions!$B:$B,"ChatGPT")</f>
        <v>5</v>
      </c>
      <c r="L21" s="12" t="n">
        <f aca="false">SUMIFS(Sessions!$I:$I,Sessions!$A:$A,$A21,Sessions!$B:$B,"Claude")</f>
        <v>0</v>
      </c>
      <c r="M21" s="12" t="n">
        <f aca="false">SUMIFS(Sessions!$I:$I,Sessions!$A:$A,$A21,Sessions!$B:$B,"Gemini")</f>
        <v>0</v>
      </c>
      <c r="N21" s="12" t="n">
        <f aca="false">SUMIFS(Sessions!$I:$I,Sessions!$A:$A,$A21,Sessions!$B:$B,"Copilot")</f>
        <v>0</v>
      </c>
      <c r="O21" s="14" t="n">
        <f aca="false">IFERROR(J21/H21,"")</f>
        <v>0.05</v>
      </c>
      <c r="P21" s="15" t="n">
        <f aca="false">IFERROR(N21/H21,"")</f>
        <v>0</v>
      </c>
      <c r="Q21" s="2" t="s">
        <v>455</v>
      </c>
    </row>
    <row r="22" customFormat="false" ht="15" hidden="false" customHeight="false" outlineLevel="0" collapsed="false">
      <c r="A22" s="11" t="n">
        <v>46176</v>
      </c>
      <c r="B22" s="2" t="n">
        <v>2026</v>
      </c>
      <c r="C22" s="2" t="s">
        <v>461</v>
      </c>
      <c r="D22" s="2" t="n">
        <v>23</v>
      </c>
      <c r="E22" s="11" t="n">
        <v>46174</v>
      </c>
      <c r="F22" s="2" t="s">
        <v>460</v>
      </c>
      <c r="G22" s="2" t="s">
        <v>63</v>
      </c>
      <c r="H22" s="12" t="n">
        <v>114</v>
      </c>
      <c r="I22" s="12" t="n">
        <v>16</v>
      </c>
      <c r="J22" s="12" t="n">
        <f aca="false">SUMIFS(Sessions!$I:$I,Sessions!$A:$A,$A22)</f>
        <v>1</v>
      </c>
      <c r="K22" s="12" t="n">
        <f aca="false">SUMIFS(Sessions!$I:$I,Sessions!$A:$A,$A22,Sessions!$B:$B,"ChatGPT")</f>
        <v>1</v>
      </c>
      <c r="L22" s="12" t="n">
        <f aca="false">SUMIFS(Sessions!$I:$I,Sessions!$A:$A,$A22,Sessions!$B:$B,"Claude")</f>
        <v>0</v>
      </c>
      <c r="M22" s="12" t="n">
        <f aca="false">SUMIFS(Sessions!$I:$I,Sessions!$A:$A,$A22,Sessions!$B:$B,"Gemini")</f>
        <v>0</v>
      </c>
      <c r="N22" s="12" t="n">
        <f aca="false">SUMIFS(Sessions!$I:$I,Sessions!$A:$A,$A22,Sessions!$B:$B,"Copilot")</f>
        <v>0</v>
      </c>
      <c r="O22" s="14" t="n">
        <f aca="false">IFERROR(J22/H22,"")</f>
        <v>0.0087719298245614</v>
      </c>
      <c r="P22" s="15" t="n">
        <f aca="false">IFERROR(N22/H22,"")</f>
        <v>0</v>
      </c>
      <c r="Q22" s="2" t="s">
        <v>455</v>
      </c>
    </row>
    <row r="23" customFormat="false" ht="15" hidden="false" customHeight="false" outlineLevel="0" collapsed="false">
      <c r="A23" s="11" t="n">
        <v>46177</v>
      </c>
      <c r="B23" s="2" t="n">
        <v>2026</v>
      </c>
      <c r="C23" s="2" t="s">
        <v>461</v>
      </c>
      <c r="D23" s="2" t="n">
        <v>23</v>
      </c>
      <c r="E23" s="11" t="n">
        <v>46174</v>
      </c>
      <c r="F23" s="2" t="s">
        <v>452</v>
      </c>
      <c r="G23" s="2" t="s">
        <v>63</v>
      </c>
      <c r="H23" s="12" t="n">
        <v>158</v>
      </c>
      <c r="I23" s="12" t="n">
        <v>11</v>
      </c>
      <c r="J23" s="12" t="n">
        <f aca="false">SUMIFS(Sessions!$I:$I,Sessions!$A:$A,$A23)</f>
        <v>2</v>
      </c>
      <c r="K23" s="12" t="n">
        <f aca="false">SUMIFS(Sessions!$I:$I,Sessions!$A:$A,$A23,Sessions!$B:$B,"ChatGPT")</f>
        <v>2</v>
      </c>
      <c r="L23" s="12" t="n">
        <f aca="false">SUMIFS(Sessions!$I:$I,Sessions!$A:$A,$A23,Sessions!$B:$B,"Claude")</f>
        <v>0</v>
      </c>
      <c r="M23" s="12" t="n">
        <f aca="false">SUMIFS(Sessions!$I:$I,Sessions!$A:$A,$A23,Sessions!$B:$B,"Gemini")</f>
        <v>0</v>
      </c>
      <c r="N23" s="12" t="n">
        <f aca="false">SUMIFS(Sessions!$I:$I,Sessions!$A:$A,$A23,Sessions!$B:$B,"Copilot")</f>
        <v>0</v>
      </c>
      <c r="O23" s="14" t="n">
        <f aca="false">IFERROR(J23/H23,"")</f>
        <v>0.0126582278481013</v>
      </c>
      <c r="P23" s="15" t="n">
        <f aca="false">IFERROR(N23/H23,"")</f>
        <v>0</v>
      </c>
      <c r="Q23" s="2" t="s">
        <v>455</v>
      </c>
    </row>
    <row r="24" customFormat="false" ht="15" hidden="false" customHeight="false" outlineLevel="0" collapsed="false">
      <c r="A24" s="11" t="n">
        <v>46178</v>
      </c>
      <c r="B24" s="2" t="n">
        <v>2026</v>
      </c>
      <c r="C24" s="2" t="s">
        <v>461</v>
      </c>
      <c r="D24" s="2" t="n">
        <v>23</v>
      </c>
      <c r="E24" s="11" t="n">
        <v>46174</v>
      </c>
      <c r="F24" s="2" t="s">
        <v>454</v>
      </c>
      <c r="G24" s="2" t="s">
        <v>63</v>
      </c>
      <c r="H24" s="12" t="n">
        <v>168</v>
      </c>
      <c r="I24" s="12" t="n">
        <v>8</v>
      </c>
      <c r="J24" s="12" t="n">
        <f aca="false">SUMIFS(Sessions!$I:$I,Sessions!$A:$A,$A24)</f>
        <v>0</v>
      </c>
      <c r="K24" s="12" t="n">
        <f aca="false">SUMIFS(Sessions!$I:$I,Sessions!$A:$A,$A24,Sessions!$B:$B,"ChatGPT")</f>
        <v>0</v>
      </c>
      <c r="L24" s="12" t="n">
        <f aca="false">SUMIFS(Sessions!$I:$I,Sessions!$A:$A,$A24,Sessions!$B:$B,"Claude")</f>
        <v>0</v>
      </c>
      <c r="M24" s="12" t="n">
        <f aca="false">SUMIFS(Sessions!$I:$I,Sessions!$A:$A,$A24,Sessions!$B:$B,"Gemini")</f>
        <v>0</v>
      </c>
      <c r="N24" s="12" t="n">
        <f aca="false">SUMIFS(Sessions!$I:$I,Sessions!$A:$A,$A24,Sessions!$B:$B,"Copilot")</f>
        <v>0</v>
      </c>
      <c r="O24" s="14" t="n">
        <f aca="false">IFERROR(J24/H24,"")</f>
        <v>0</v>
      </c>
      <c r="P24" s="15" t="n">
        <f aca="false">IFERROR(N24/H24,"")</f>
        <v>0</v>
      </c>
      <c r="Q24" s="2" t="s">
        <v>455</v>
      </c>
    </row>
    <row r="25" customFormat="false" ht="15" hidden="false" customHeight="false" outlineLevel="0" collapsed="false">
      <c r="A25" s="11" t="n">
        <v>46179</v>
      </c>
      <c r="B25" s="2" t="n">
        <v>2026</v>
      </c>
      <c r="C25" s="2" t="s">
        <v>461</v>
      </c>
      <c r="D25" s="2" t="n">
        <v>23</v>
      </c>
      <c r="E25" s="11" t="n">
        <v>46174</v>
      </c>
      <c r="F25" s="2" t="s">
        <v>456</v>
      </c>
      <c r="G25" s="2" t="s">
        <v>75</v>
      </c>
      <c r="H25" s="12" t="n">
        <v>198</v>
      </c>
      <c r="I25" s="12" t="n">
        <v>7</v>
      </c>
      <c r="J25" s="12" t="n">
        <f aca="false">SUMIFS(Sessions!$I:$I,Sessions!$A:$A,$A25)</f>
        <v>0</v>
      </c>
      <c r="K25" s="12" t="n">
        <f aca="false">SUMIFS(Sessions!$I:$I,Sessions!$A:$A,$A25,Sessions!$B:$B,"ChatGPT")</f>
        <v>0</v>
      </c>
      <c r="L25" s="12" t="n">
        <f aca="false">SUMIFS(Sessions!$I:$I,Sessions!$A:$A,$A25,Sessions!$B:$B,"Claude")</f>
        <v>0</v>
      </c>
      <c r="M25" s="12" t="n">
        <f aca="false">SUMIFS(Sessions!$I:$I,Sessions!$A:$A,$A25,Sessions!$B:$B,"Gemini")</f>
        <v>0</v>
      </c>
      <c r="N25" s="12" t="n">
        <f aca="false">SUMIFS(Sessions!$I:$I,Sessions!$A:$A,$A25,Sessions!$B:$B,"Copilot")</f>
        <v>0</v>
      </c>
      <c r="O25" s="14" t="n">
        <f aca="false">IFERROR(J25/H25,"")</f>
        <v>0</v>
      </c>
      <c r="P25" s="15" t="n">
        <f aca="false">IFERROR(N25/H25,"")</f>
        <v>0</v>
      </c>
      <c r="Q25" s="2" t="s">
        <v>455</v>
      </c>
    </row>
    <row r="26" customFormat="false" ht="15" hidden="false" customHeight="false" outlineLevel="0" collapsed="false">
      <c r="A26" s="11" t="n">
        <v>46180</v>
      </c>
      <c r="B26" s="2" t="n">
        <v>2026</v>
      </c>
      <c r="C26" s="2" t="s">
        <v>461</v>
      </c>
      <c r="D26" s="2" t="n">
        <v>23</v>
      </c>
      <c r="E26" s="11" t="n">
        <v>46174</v>
      </c>
      <c r="F26" s="2" t="s">
        <v>457</v>
      </c>
      <c r="G26" s="2" t="s">
        <v>75</v>
      </c>
      <c r="H26" s="12" t="n">
        <v>69</v>
      </c>
      <c r="I26" s="12" t="n">
        <v>8</v>
      </c>
      <c r="J26" s="12" t="n">
        <f aca="false">SUMIFS(Sessions!$I:$I,Sessions!$A:$A,$A26)</f>
        <v>1</v>
      </c>
      <c r="K26" s="12" t="n">
        <f aca="false">SUMIFS(Sessions!$I:$I,Sessions!$A:$A,$A26,Sessions!$B:$B,"ChatGPT")</f>
        <v>1</v>
      </c>
      <c r="L26" s="12" t="n">
        <f aca="false">SUMIFS(Sessions!$I:$I,Sessions!$A:$A,$A26,Sessions!$B:$B,"Claude")</f>
        <v>0</v>
      </c>
      <c r="M26" s="12" t="n">
        <f aca="false">SUMIFS(Sessions!$I:$I,Sessions!$A:$A,$A26,Sessions!$B:$B,"Gemini")</f>
        <v>0</v>
      </c>
      <c r="N26" s="12" t="n">
        <f aca="false">SUMIFS(Sessions!$I:$I,Sessions!$A:$A,$A26,Sessions!$B:$B,"Copilot")</f>
        <v>0</v>
      </c>
      <c r="O26" s="14" t="n">
        <f aca="false">IFERROR(J26/H26,"")</f>
        <v>0.0144927536231884</v>
      </c>
      <c r="P26" s="15" t="n">
        <f aca="false">IFERROR(N26/H26,"")</f>
        <v>0</v>
      </c>
      <c r="Q26" s="2" t="s">
        <v>455</v>
      </c>
    </row>
    <row r="27" customFormat="false" ht="15" hidden="false" customHeight="false" outlineLevel="0" collapsed="false">
      <c r="A27" s="11" t="n">
        <v>46181</v>
      </c>
      <c r="B27" s="2" t="n">
        <v>2026</v>
      </c>
      <c r="C27" s="2" t="s">
        <v>461</v>
      </c>
      <c r="D27" s="2" t="n">
        <v>24</v>
      </c>
      <c r="E27" s="11" t="n">
        <v>46181</v>
      </c>
      <c r="F27" s="2" t="s">
        <v>458</v>
      </c>
      <c r="G27" s="2" t="s">
        <v>63</v>
      </c>
      <c r="H27" s="12" t="n">
        <v>80</v>
      </c>
      <c r="I27" s="12" t="n">
        <v>11</v>
      </c>
      <c r="J27" s="12" t="n">
        <f aca="false">SUMIFS(Sessions!$I:$I,Sessions!$A:$A,$A27)</f>
        <v>0</v>
      </c>
      <c r="K27" s="12" t="n">
        <f aca="false">SUMIFS(Sessions!$I:$I,Sessions!$A:$A,$A27,Sessions!$B:$B,"ChatGPT")</f>
        <v>0</v>
      </c>
      <c r="L27" s="12" t="n">
        <f aca="false">SUMIFS(Sessions!$I:$I,Sessions!$A:$A,$A27,Sessions!$B:$B,"Claude")</f>
        <v>0</v>
      </c>
      <c r="M27" s="12" t="n">
        <f aca="false">SUMIFS(Sessions!$I:$I,Sessions!$A:$A,$A27,Sessions!$B:$B,"Gemini")</f>
        <v>0</v>
      </c>
      <c r="N27" s="12" t="n">
        <f aca="false">SUMIFS(Sessions!$I:$I,Sessions!$A:$A,$A27,Sessions!$B:$B,"Copilot")</f>
        <v>0</v>
      </c>
      <c r="O27" s="14" t="n">
        <f aca="false">IFERROR(J27/H27,"")</f>
        <v>0</v>
      </c>
      <c r="P27" s="15" t="n">
        <f aca="false">IFERROR(N27/H27,"")</f>
        <v>0</v>
      </c>
      <c r="Q27" s="2" t="s">
        <v>455</v>
      </c>
    </row>
    <row r="28" customFormat="false" ht="15" hidden="false" customHeight="false" outlineLevel="0" collapsed="false">
      <c r="A28" s="11" t="n">
        <v>46182</v>
      </c>
      <c r="B28" s="2" t="n">
        <v>2026</v>
      </c>
      <c r="C28" s="2" t="s">
        <v>461</v>
      </c>
      <c r="D28" s="2" t="n">
        <v>24</v>
      </c>
      <c r="E28" s="11" t="n">
        <v>46181</v>
      </c>
      <c r="F28" s="2" t="s">
        <v>459</v>
      </c>
      <c r="G28" s="2" t="s">
        <v>63</v>
      </c>
      <c r="H28" s="12" t="n">
        <v>103</v>
      </c>
      <c r="I28" s="12" t="n">
        <v>18</v>
      </c>
      <c r="J28" s="12" t="n">
        <f aca="false">SUMIFS(Sessions!$I:$I,Sessions!$A:$A,$A28)</f>
        <v>1</v>
      </c>
      <c r="K28" s="12" t="n">
        <f aca="false">SUMIFS(Sessions!$I:$I,Sessions!$A:$A,$A28,Sessions!$B:$B,"ChatGPT")</f>
        <v>0</v>
      </c>
      <c r="L28" s="12" t="n">
        <f aca="false">SUMIFS(Sessions!$I:$I,Sessions!$A:$A,$A28,Sessions!$B:$B,"Claude")</f>
        <v>0</v>
      </c>
      <c r="M28" s="12" t="n">
        <f aca="false">SUMIFS(Sessions!$I:$I,Sessions!$A:$A,$A28,Sessions!$B:$B,"Gemini")</f>
        <v>1</v>
      </c>
      <c r="N28" s="12" t="n">
        <f aca="false">SUMIFS(Sessions!$I:$I,Sessions!$A:$A,$A28,Sessions!$B:$B,"Copilot")</f>
        <v>0</v>
      </c>
      <c r="O28" s="14" t="n">
        <f aca="false">IFERROR(J28/H28,"")</f>
        <v>0.00970873786407767</v>
      </c>
      <c r="P28" s="15" t="n">
        <f aca="false">IFERROR(N28/H28,"")</f>
        <v>0</v>
      </c>
      <c r="Q28" s="2" t="s">
        <v>455</v>
      </c>
    </row>
    <row r="29" customFormat="false" ht="15" hidden="false" customHeight="false" outlineLevel="0" collapsed="false">
      <c r="A29" s="11" t="n">
        <v>46183</v>
      </c>
      <c r="B29" s="2" t="n">
        <v>2026</v>
      </c>
      <c r="C29" s="2" t="s">
        <v>461</v>
      </c>
      <c r="D29" s="2" t="n">
        <v>24</v>
      </c>
      <c r="E29" s="11" t="n">
        <v>46181</v>
      </c>
      <c r="F29" s="2" t="s">
        <v>460</v>
      </c>
      <c r="G29" s="2" t="s">
        <v>63</v>
      </c>
      <c r="H29" s="12" t="n">
        <v>106</v>
      </c>
      <c r="I29" s="12" t="n">
        <v>8</v>
      </c>
      <c r="J29" s="12" t="n">
        <f aca="false">SUMIFS(Sessions!$I:$I,Sessions!$A:$A,$A29)</f>
        <v>1</v>
      </c>
      <c r="K29" s="12" t="n">
        <f aca="false">SUMIFS(Sessions!$I:$I,Sessions!$A:$A,$A29,Sessions!$B:$B,"ChatGPT")</f>
        <v>0</v>
      </c>
      <c r="L29" s="12" t="n">
        <f aca="false">SUMIFS(Sessions!$I:$I,Sessions!$A:$A,$A29,Sessions!$B:$B,"Claude")</f>
        <v>0</v>
      </c>
      <c r="M29" s="12" t="n">
        <f aca="false">SUMIFS(Sessions!$I:$I,Sessions!$A:$A,$A29,Sessions!$B:$B,"Gemini")</f>
        <v>1</v>
      </c>
      <c r="N29" s="12" t="n">
        <f aca="false">SUMIFS(Sessions!$I:$I,Sessions!$A:$A,$A29,Sessions!$B:$B,"Copilot")</f>
        <v>0</v>
      </c>
      <c r="O29" s="14" t="n">
        <f aca="false">IFERROR(J29/H29,"")</f>
        <v>0.00943396226415094</v>
      </c>
      <c r="P29" s="15" t="n">
        <f aca="false">IFERROR(N29/H29,"")</f>
        <v>0</v>
      </c>
      <c r="Q29" s="2" t="s">
        <v>455</v>
      </c>
    </row>
    <row r="30" customFormat="false" ht="15" hidden="false" customHeight="false" outlineLevel="0" collapsed="false">
      <c r="A30" s="11" t="n">
        <v>46184</v>
      </c>
      <c r="B30" s="2" t="n">
        <v>2026</v>
      </c>
      <c r="C30" s="2" t="s">
        <v>461</v>
      </c>
      <c r="D30" s="2" t="n">
        <v>24</v>
      </c>
      <c r="E30" s="11" t="n">
        <v>46181</v>
      </c>
      <c r="F30" s="2" t="s">
        <v>452</v>
      </c>
      <c r="G30" s="2" t="s">
        <v>63</v>
      </c>
      <c r="H30" s="12" t="n">
        <v>83</v>
      </c>
      <c r="I30" s="12" t="n">
        <v>19</v>
      </c>
      <c r="J30" s="12" t="n">
        <f aca="false">SUMIFS(Sessions!$I:$I,Sessions!$A:$A,$A30)</f>
        <v>2</v>
      </c>
      <c r="K30" s="12" t="n">
        <f aca="false">SUMIFS(Sessions!$I:$I,Sessions!$A:$A,$A30,Sessions!$B:$B,"ChatGPT")</f>
        <v>2</v>
      </c>
      <c r="L30" s="12" t="n">
        <f aca="false">SUMIFS(Sessions!$I:$I,Sessions!$A:$A,$A30,Sessions!$B:$B,"Claude")</f>
        <v>0</v>
      </c>
      <c r="M30" s="12" t="n">
        <f aca="false">SUMIFS(Sessions!$I:$I,Sessions!$A:$A,$A30,Sessions!$B:$B,"Gemini")</f>
        <v>0</v>
      </c>
      <c r="N30" s="12" t="n">
        <f aca="false">SUMIFS(Sessions!$I:$I,Sessions!$A:$A,$A30,Sessions!$B:$B,"Copilot")</f>
        <v>0</v>
      </c>
      <c r="O30" s="14" t="n">
        <f aca="false">IFERROR(J30/H30,"")</f>
        <v>0.0240963855421687</v>
      </c>
      <c r="P30" s="15" t="n">
        <f aca="false">IFERROR(N30/H30,"")</f>
        <v>0</v>
      </c>
      <c r="Q30" s="2" t="s">
        <v>455</v>
      </c>
    </row>
    <row r="31" customFormat="false" ht="15" hidden="false" customHeight="false" outlineLevel="0" collapsed="false">
      <c r="A31" s="11" t="n">
        <v>46185</v>
      </c>
      <c r="B31" s="2" t="n">
        <v>2026</v>
      </c>
      <c r="C31" s="2" t="s">
        <v>461</v>
      </c>
      <c r="D31" s="2" t="n">
        <v>24</v>
      </c>
      <c r="E31" s="11" t="n">
        <v>46181</v>
      </c>
      <c r="F31" s="2" t="s">
        <v>454</v>
      </c>
      <c r="G31" s="2" t="s">
        <v>63</v>
      </c>
      <c r="H31" s="12" t="n">
        <v>52</v>
      </c>
      <c r="I31" s="12" t="n">
        <v>11</v>
      </c>
      <c r="J31" s="12" t="n">
        <f aca="false">SUMIFS(Sessions!$I:$I,Sessions!$A:$A,$A31)</f>
        <v>2</v>
      </c>
      <c r="K31" s="12" t="n">
        <f aca="false">SUMIFS(Sessions!$I:$I,Sessions!$A:$A,$A31,Sessions!$B:$B,"ChatGPT")</f>
        <v>1</v>
      </c>
      <c r="L31" s="12" t="n">
        <f aca="false">SUMIFS(Sessions!$I:$I,Sessions!$A:$A,$A31,Sessions!$B:$B,"Claude")</f>
        <v>0</v>
      </c>
      <c r="M31" s="12" t="n">
        <f aca="false">SUMIFS(Sessions!$I:$I,Sessions!$A:$A,$A31,Sessions!$B:$B,"Gemini")</f>
        <v>1</v>
      </c>
      <c r="N31" s="12" t="n">
        <f aca="false">SUMIFS(Sessions!$I:$I,Sessions!$A:$A,$A31,Sessions!$B:$B,"Copilot")</f>
        <v>0</v>
      </c>
      <c r="O31" s="14" t="n">
        <f aca="false">IFERROR(J31/H31,"")</f>
        <v>0.0384615384615385</v>
      </c>
      <c r="P31" s="15" t="n">
        <f aca="false">IFERROR(N31/H31,"")</f>
        <v>0</v>
      </c>
      <c r="Q31" s="2" t="s">
        <v>455</v>
      </c>
    </row>
    <row r="32" customFormat="false" ht="15" hidden="false" customHeight="false" outlineLevel="0" collapsed="false">
      <c r="A32" s="11" t="n">
        <v>46186</v>
      </c>
      <c r="B32" s="2" t="n">
        <v>2026</v>
      </c>
      <c r="C32" s="2" t="s">
        <v>461</v>
      </c>
      <c r="D32" s="2" t="n">
        <v>24</v>
      </c>
      <c r="E32" s="11" t="n">
        <v>46181</v>
      </c>
      <c r="F32" s="2" t="s">
        <v>456</v>
      </c>
      <c r="G32" s="2" t="s">
        <v>75</v>
      </c>
      <c r="H32" s="12" t="n">
        <v>35</v>
      </c>
      <c r="I32" s="12" t="n">
        <v>8</v>
      </c>
      <c r="J32" s="12" t="n">
        <f aca="false">SUMIFS(Sessions!$I:$I,Sessions!$A:$A,$A32)</f>
        <v>2</v>
      </c>
      <c r="K32" s="12" t="n">
        <f aca="false">SUMIFS(Sessions!$I:$I,Sessions!$A:$A,$A32,Sessions!$B:$B,"ChatGPT")</f>
        <v>1</v>
      </c>
      <c r="L32" s="12" t="n">
        <f aca="false">SUMIFS(Sessions!$I:$I,Sessions!$A:$A,$A32,Sessions!$B:$B,"Claude")</f>
        <v>0</v>
      </c>
      <c r="M32" s="12" t="n">
        <f aca="false">SUMIFS(Sessions!$I:$I,Sessions!$A:$A,$A32,Sessions!$B:$B,"Gemini")</f>
        <v>1</v>
      </c>
      <c r="N32" s="12" t="n">
        <f aca="false">SUMIFS(Sessions!$I:$I,Sessions!$A:$A,$A32,Sessions!$B:$B,"Copilot")</f>
        <v>0</v>
      </c>
      <c r="O32" s="14" t="n">
        <f aca="false">IFERROR(J32/H32,"")</f>
        <v>0.0571428571428571</v>
      </c>
      <c r="P32" s="15" t="n">
        <f aca="false">IFERROR(N32/H32,"")</f>
        <v>0</v>
      </c>
      <c r="Q32" s="2" t="s">
        <v>455</v>
      </c>
    </row>
    <row r="33" customFormat="false" ht="15" hidden="false" customHeight="false" outlineLevel="0" collapsed="false">
      <c r="A33" s="11" t="n">
        <v>46187</v>
      </c>
      <c r="B33" s="2" t="n">
        <v>2026</v>
      </c>
      <c r="C33" s="2" t="s">
        <v>461</v>
      </c>
      <c r="D33" s="2" t="n">
        <v>24</v>
      </c>
      <c r="E33" s="11" t="n">
        <v>46181</v>
      </c>
      <c r="F33" s="2" t="s">
        <v>457</v>
      </c>
      <c r="G33" s="2" t="s">
        <v>75</v>
      </c>
      <c r="H33" s="12" t="n">
        <v>95</v>
      </c>
      <c r="I33" s="12" t="n">
        <v>12</v>
      </c>
      <c r="J33" s="12" t="n">
        <f aca="false">SUMIFS(Sessions!$I:$I,Sessions!$A:$A,$A33)</f>
        <v>0</v>
      </c>
      <c r="K33" s="12" t="n">
        <f aca="false">SUMIFS(Sessions!$I:$I,Sessions!$A:$A,$A33,Sessions!$B:$B,"ChatGPT")</f>
        <v>0</v>
      </c>
      <c r="L33" s="12" t="n">
        <f aca="false">SUMIFS(Sessions!$I:$I,Sessions!$A:$A,$A33,Sessions!$B:$B,"Claude")</f>
        <v>0</v>
      </c>
      <c r="M33" s="12" t="n">
        <f aca="false">SUMIFS(Sessions!$I:$I,Sessions!$A:$A,$A33,Sessions!$B:$B,"Gemini")</f>
        <v>0</v>
      </c>
      <c r="N33" s="12" t="n">
        <f aca="false">SUMIFS(Sessions!$I:$I,Sessions!$A:$A,$A33,Sessions!$B:$B,"Copilot")</f>
        <v>0</v>
      </c>
      <c r="O33" s="14" t="n">
        <f aca="false">IFERROR(J33/H33,"")</f>
        <v>0</v>
      </c>
      <c r="P33" s="15" t="n">
        <f aca="false">IFERROR(N33/H33,"")</f>
        <v>0</v>
      </c>
      <c r="Q33" s="2" t="s">
        <v>455</v>
      </c>
    </row>
    <row r="34" customFormat="false" ht="15" hidden="false" customHeight="false" outlineLevel="0" collapsed="false">
      <c r="A34" s="11" t="n">
        <v>46188</v>
      </c>
      <c r="B34" s="2" t="n">
        <v>2026</v>
      </c>
      <c r="C34" s="2" t="s">
        <v>461</v>
      </c>
      <c r="D34" s="2" t="n">
        <v>25</v>
      </c>
      <c r="E34" s="11" t="n">
        <v>46188</v>
      </c>
      <c r="F34" s="2" t="s">
        <v>458</v>
      </c>
      <c r="G34" s="2" t="s">
        <v>63</v>
      </c>
      <c r="H34" s="12" t="n">
        <v>108</v>
      </c>
      <c r="I34" s="12" t="n">
        <v>16</v>
      </c>
      <c r="J34" s="12" t="n">
        <f aca="false">SUMIFS(Sessions!$I:$I,Sessions!$A:$A,$A34)</f>
        <v>5</v>
      </c>
      <c r="K34" s="12" t="n">
        <f aca="false">SUMIFS(Sessions!$I:$I,Sessions!$A:$A,$A34,Sessions!$B:$B,"ChatGPT")</f>
        <v>2</v>
      </c>
      <c r="L34" s="12" t="n">
        <f aca="false">SUMIFS(Sessions!$I:$I,Sessions!$A:$A,$A34,Sessions!$B:$B,"Claude")</f>
        <v>2</v>
      </c>
      <c r="M34" s="12" t="n">
        <f aca="false">SUMIFS(Sessions!$I:$I,Sessions!$A:$A,$A34,Sessions!$B:$B,"Gemini")</f>
        <v>1</v>
      </c>
      <c r="N34" s="12" t="n">
        <f aca="false">SUMIFS(Sessions!$I:$I,Sessions!$A:$A,$A34,Sessions!$B:$B,"Copilot")</f>
        <v>0</v>
      </c>
      <c r="O34" s="14" t="n">
        <f aca="false">IFERROR(J34/H34,"")</f>
        <v>0.0462962962962963</v>
      </c>
      <c r="P34" s="15" t="n">
        <f aca="false">IFERROR(N34/H34,"")</f>
        <v>0</v>
      </c>
      <c r="Q34" s="2" t="s">
        <v>455</v>
      </c>
    </row>
    <row r="35" customFormat="false" ht="15" hidden="false" customHeight="false" outlineLevel="0" collapsed="false">
      <c r="A35" s="11" t="n">
        <v>46189</v>
      </c>
      <c r="B35" s="2" t="n">
        <v>2026</v>
      </c>
      <c r="C35" s="2" t="s">
        <v>461</v>
      </c>
      <c r="D35" s="2" t="n">
        <v>25</v>
      </c>
      <c r="E35" s="11" t="n">
        <v>46188</v>
      </c>
      <c r="F35" s="2" t="s">
        <v>459</v>
      </c>
      <c r="G35" s="2" t="s">
        <v>63</v>
      </c>
      <c r="H35" s="12" t="n">
        <v>150</v>
      </c>
      <c r="I35" s="12" t="n">
        <v>17</v>
      </c>
      <c r="J35" s="12" t="n">
        <f aca="false">SUMIFS(Sessions!$I:$I,Sessions!$A:$A,$A35)</f>
        <v>1</v>
      </c>
      <c r="K35" s="12" t="n">
        <f aca="false">SUMIFS(Sessions!$I:$I,Sessions!$A:$A,$A35,Sessions!$B:$B,"ChatGPT")</f>
        <v>0</v>
      </c>
      <c r="L35" s="12" t="n">
        <f aca="false">SUMIFS(Sessions!$I:$I,Sessions!$A:$A,$A35,Sessions!$B:$B,"Claude")</f>
        <v>1</v>
      </c>
      <c r="M35" s="12" t="n">
        <f aca="false">SUMIFS(Sessions!$I:$I,Sessions!$A:$A,$A35,Sessions!$B:$B,"Gemini")</f>
        <v>0</v>
      </c>
      <c r="N35" s="12" t="n">
        <f aca="false">SUMIFS(Sessions!$I:$I,Sessions!$A:$A,$A35,Sessions!$B:$B,"Copilot")</f>
        <v>0</v>
      </c>
      <c r="O35" s="14" t="n">
        <f aca="false">IFERROR(J35/H35,"")</f>
        <v>0.00666666666666667</v>
      </c>
      <c r="P35" s="15" t="n">
        <f aca="false">IFERROR(N35/H35,"")</f>
        <v>0</v>
      </c>
      <c r="Q35" s="2" t="s">
        <v>455</v>
      </c>
    </row>
    <row r="36" customFormat="false" ht="15" hidden="false" customHeight="false" outlineLevel="0" collapsed="false">
      <c r="A36" s="11" t="n">
        <v>46190</v>
      </c>
      <c r="B36" s="2" t="n">
        <v>2026</v>
      </c>
      <c r="C36" s="2" t="s">
        <v>461</v>
      </c>
      <c r="D36" s="2" t="n">
        <v>25</v>
      </c>
      <c r="E36" s="11" t="n">
        <v>46188</v>
      </c>
      <c r="F36" s="2" t="s">
        <v>460</v>
      </c>
      <c r="G36" s="2" t="s">
        <v>63</v>
      </c>
      <c r="H36" s="12" t="n">
        <v>112</v>
      </c>
      <c r="I36" s="12" t="n">
        <v>18</v>
      </c>
      <c r="J36" s="12" t="n">
        <f aca="false">SUMIFS(Sessions!$I:$I,Sessions!$A:$A,$A36)</f>
        <v>0</v>
      </c>
      <c r="K36" s="12" t="n">
        <f aca="false">SUMIFS(Sessions!$I:$I,Sessions!$A:$A,$A36,Sessions!$B:$B,"ChatGPT")</f>
        <v>0</v>
      </c>
      <c r="L36" s="12" t="n">
        <f aca="false">SUMIFS(Sessions!$I:$I,Sessions!$A:$A,$A36,Sessions!$B:$B,"Claude")</f>
        <v>0</v>
      </c>
      <c r="M36" s="12" t="n">
        <f aca="false">SUMIFS(Sessions!$I:$I,Sessions!$A:$A,$A36,Sessions!$B:$B,"Gemini")</f>
        <v>0</v>
      </c>
      <c r="N36" s="12" t="n">
        <f aca="false">SUMIFS(Sessions!$I:$I,Sessions!$A:$A,$A36,Sessions!$B:$B,"Copilot")</f>
        <v>0</v>
      </c>
      <c r="O36" s="14" t="n">
        <f aca="false">IFERROR(J36/H36,"")</f>
        <v>0</v>
      </c>
      <c r="P36" s="15" t="n">
        <f aca="false">IFERROR(N36/H36,"")</f>
        <v>0</v>
      </c>
      <c r="Q36" s="2" t="s">
        <v>455</v>
      </c>
    </row>
    <row r="37" customFormat="false" ht="15" hidden="false" customHeight="false" outlineLevel="0" collapsed="false">
      <c r="A37" s="11" t="n">
        <v>46191</v>
      </c>
      <c r="B37" s="2" t="n">
        <v>2026</v>
      </c>
      <c r="C37" s="2" t="s">
        <v>461</v>
      </c>
      <c r="D37" s="2" t="n">
        <v>25</v>
      </c>
      <c r="E37" s="11" t="n">
        <v>46188</v>
      </c>
      <c r="F37" s="2" t="s">
        <v>452</v>
      </c>
      <c r="G37" s="2" t="s">
        <v>63</v>
      </c>
      <c r="H37" s="12" t="n">
        <v>105</v>
      </c>
      <c r="I37" s="12" t="n">
        <v>15</v>
      </c>
      <c r="J37" s="12" t="n">
        <f aca="false">SUMIFS(Sessions!$I:$I,Sessions!$A:$A,$A37)</f>
        <v>0</v>
      </c>
      <c r="K37" s="12" t="n">
        <f aca="false">SUMIFS(Sessions!$I:$I,Sessions!$A:$A,$A37,Sessions!$B:$B,"ChatGPT")</f>
        <v>0</v>
      </c>
      <c r="L37" s="12" t="n">
        <f aca="false">SUMIFS(Sessions!$I:$I,Sessions!$A:$A,$A37,Sessions!$B:$B,"Claude")</f>
        <v>0</v>
      </c>
      <c r="M37" s="12" t="n">
        <f aca="false">SUMIFS(Sessions!$I:$I,Sessions!$A:$A,$A37,Sessions!$B:$B,"Gemini")</f>
        <v>0</v>
      </c>
      <c r="N37" s="12" t="n">
        <f aca="false">SUMIFS(Sessions!$I:$I,Sessions!$A:$A,$A37,Sessions!$B:$B,"Copilot")</f>
        <v>0</v>
      </c>
      <c r="O37" s="14" t="n">
        <f aca="false">IFERROR(J37/H37,"")</f>
        <v>0</v>
      </c>
      <c r="P37" s="15" t="n">
        <f aca="false">IFERROR(N37/H37,"")</f>
        <v>0</v>
      </c>
      <c r="Q37" s="2" t="s">
        <v>455</v>
      </c>
    </row>
    <row r="38" customFormat="false" ht="15" hidden="false" customHeight="false" outlineLevel="0" collapsed="false">
      <c r="A38" s="11" t="n">
        <v>46192</v>
      </c>
      <c r="B38" s="2" t="n">
        <v>2026</v>
      </c>
      <c r="C38" s="2" t="s">
        <v>461</v>
      </c>
      <c r="D38" s="2" t="n">
        <v>25</v>
      </c>
      <c r="E38" s="11" t="n">
        <v>46188</v>
      </c>
      <c r="F38" s="2" t="s">
        <v>454</v>
      </c>
      <c r="G38" s="2" t="s">
        <v>63</v>
      </c>
      <c r="H38" s="12" t="n">
        <v>69</v>
      </c>
      <c r="I38" s="12" t="n">
        <v>8</v>
      </c>
      <c r="J38" s="12" t="n">
        <f aca="false">SUMIFS(Sessions!$I:$I,Sessions!$A:$A,$A38)</f>
        <v>0</v>
      </c>
      <c r="K38" s="12" t="n">
        <f aca="false">SUMIFS(Sessions!$I:$I,Sessions!$A:$A,$A38,Sessions!$B:$B,"ChatGPT")</f>
        <v>0</v>
      </c>
      <c r="L38" s="12" t="n">
        <f aca="false">SUMIFS(Sessions!$I:$I,Sessions!$A:$A,$A38,Sessions!$B:$B,"Claude")</f>
        <v>0</v>
      </c>
      <c r="M38" s="12" t="n">
        <f aca="false">SUMIFS(Sessions!$I:$I,Sessions!$A:$A,$A38,Sessions!$B:$B,"Gemini")</f>
        <v>0</v>
      </c>
      <c r="N38" s="12" t="n">
        <f aca="false">SUMIFS(Sessions!$I:$I,Sessions!$A:$A,$A38,Sessions!$B:$B,"Copilot")</f>
        <v>0</v>
      </c>
      <c r="O38" s="14" t="n">
        <f aca="false">IFERROR(J38/H38,"")</f>
        <v>0</v>
      </c>
      <c r="P38" s="15" t="n">
        <f aca="false">IFERROR(N38/H38,"")</f>
        <v>0</v>
      </c>
      <c r="Q38" s="2" t="s">
        <v>455</v>
      </c>
    </row>
    <row r="39" customFormat="false" ht="15" hidden="false" customHeight="false" outlineLevel="0" collapsed="false">
      <c r="A39" s="11" t="n">
        <v>46193</v>
      </c>
      <c r="B39" s="2" t="n">
        <v>2026</v>
      </c>
      <c r="C39" s="2" t="s">
        <v>461</v>
      </c>
      <c r="D39" s="2" t="n">
        <v>25</v>
      </c>
      <c r="E39" s="11" t="n">
        <v>46188</v>
      </c>
      <c r="F39" s="2" t="s">
        <v>456</v>
      </c>
      <c r="G39" s="2" t="s">
        <v>75</v>
      </c>
      <c r="H39" s="12" t="n">
        <v>25</v>
      </c>
      <c r="I39" s="12" t="n">
        <v>5</v>
      </c>
      <c r="J39" s="12" t="n">
        <f aca="false">SUMIFS(Sessions!$I:$I,Sessions!$A:$A,$A39)</f>
        <v>0</v>
      </c>
      <c r="K39" s="12" t="n">
        <f aca="false">SUMIFS(Sessions!$I:$I,Sessions!$A:$A,$A39,Sessions!$B:$B,"ChatGPT")</f>
        <v>0</v>
      </c>
      <c r="L39" s="12" t="n">
        <f aca="false">SUMIFS(Sessions!$I:$I,Sessions!$A:$A,$A39,Sessions!$B:$B,"Claude")</f>
        <v>0</v>
      </c>
      <c r="M39" s="12" t="n">
        <f aca="false">SUMIFS(Sessions!$I:$I,Sessions!$A:$A,$A39,Sessions!$B:$B,"Gemini")</f>
        <v>0</v>
      </c>
      <c r="N39" s="12" t="n">
        <f aca="false">SUMIFS(Sessions!$I:$I,Sessions!$A:$A,$A39,Sessions!$B:$B,"Copilot")</f>
        <v>0</v>
      </c>
      <c r="O39" s="14" t="n">
        <f aca="false">IFERROR(J39/H39,"")</f>
        <v>0</v>
      </c>
      <c r="P39" s="15" t="n">
        <f aca="false">IFERROR(N39/H39,"")</f>
        <v>0</v>
      </c>
      <c r="Q39" s="2" t="s">
        <v>455</v>
      </c>
    </row>
    <row r="40" customFormat="false" ht="15" hidden="false" customHeight="false" outlineLevel="0" collapsed="false">
      <c r="A40" s="11" t="n">
        <v>46194</v>
      </c>
      <c r="B40" s="2" t="n">
        <v>2026</v>
      </c>
      <c r="C40" s="2" t="s">
        <v>461</v>
      </c>
      <c r="D40" s="2" t="n">
        <v>25</v>
      </c>
      <c r="E40" s="11" t="n">
        <v>46188</v>
      </c>
      <c r="F40" s="2" t="s">
        <v>457</v>
      </c>
      <c r="G40" s="2" t="s">
        <v>75</v>
      </c>
      <c r="H40" s="12" t="n">
        <v>141</v>
      </c>
      <c r="I40" s="12" t="n">
        <v>18</v>
      </c>
      <c r="J40" s="12" t="n">
        <f aca="false">SUMIFS(Sessions!$I:$I,Sessions!$A:$A,$A40)</f>
        <v>1</v>
      </c>
      <c r="K40" s="12" t="n">
        <f aca="false">SUMIFS(Sessions!$I:$I,Sessions!$A:$A,$A40,Sessions!$B:$B,"ChatGPT")</f>
        <v>1</v>
      </c>
      <c r="L40" s="12" t="n">
        <f aca="false">SUMIFS(Sessions!$I:$I,Sessions!$A:$A,$A40,Sessions!$B:$B,"Claude")</f>
        <v>0</v>
      </c>
      <c r="M40" s="12" t="n">
        <f aca="false">SUMIFS(Sessions!$I:$I,Sessions!$A:$A,$A40,Sessions!$B:$B,"Gemini")</f>
        <v>0</v>
      </c>
      <c r="N40" s="12" t="n">
        <f aca="false">SUMIFS(Sessions!$I:$I,Sessions!$A:$A,$A40,Sessions!$B:$B,"Copilot")</f>
        <v>0</v>
      </c>
      <c r="O40" s="14" t="n">
        <f aca="false">IFERROR(J40/H40,"")</f>
        <v>0.00709219858156028</v>
      </c>
      <c r="P40" s="15" t="n">
        <f aca="false">IFERROR(N40/H40,"")</f>
        <v>0</v>
      </c>
      <c r="Q40" s="2" t="s">
        <v>455</v>
      </c>
    </row>
    <row r="41" customFormat="false" ht="15" hidden="false" customHeight="false" outlineLevel="0" collapsed="false">
      <c r="A41" s="11" t="n">
        <v>46195</v>
      </c>
      <c r="B41" s="2" t="n">
        <v>2026</v>
      </c>
      <c r="C41" s="2" t="s">
        <v>461</v>
      </c>
      <c r="D41" s="2" t="n">
        <v>26</v>
      </c>
      <c r="E41" s="11" t="n">
        <v>46195</v>
      </c>
      <c r="F41" s="2" t="s">
        <v>458</v>
      </c>
      <c r="G41" s="2" t="s">
        <v>63</v>
      </c>
      <c r="H41" s="12" t="n">
        <v>101</v>
      </c>
      <c r="I41" s="12" t="n">
        <v>13</v>
      </c>
      <c r="J41" s="12" t="n">
        <f aca="false">SUMIFS(Sessions!$I:$I,Sessions!$A:$A,$A41)</f>
        <v>3</v>
      </c>
      <c r="K41" s="12" t="n">
        <f aca="false">SUMIFS(Sessions!$I:$I,Sessions!$A:$A,$A41,Sessions!$B:$B,"ChatGPT")</f>
        <v>2</v>
      </c>
      <c r="L41" s="12" t="n">
        <f aca="false">SUMIFS(Sessions!$I:$I,Sessions!$A:$A,$A41,Sessions!$B:$B,"Claude")</f>
        <v>1</v>
      </c>
      <c r="M41" s="12" t="n">
        <f aca="false">SUMIFS(Sessions!$I:$I,Sessions!$A:$A,$A41,Sessions!$B:$B,"Gemini")</f>
        <v>0</v>
      </c>
      <c r="N41" s="12" t="n">
        <f aca="false">SUMIFS(Sessions!$I:$I,Sessions!$A:$A,$A41,Sessions!$B:$B,"Copilot")</f>
        <v>0</v>
      </c>
      <c r="O41" s="14" t="n">
        <f aca="false">IFERROR(J41/H41,"")</f>
        <v>0.0297029702970297</v>
      </c>
      <c r="P41" s="15" t="n">
        <f aca="false">IFERROR(N41/H41,"")</f>
        <v>0</v>
      </c>
      <c r="Q41" s="2" t="s">
        <v>455</v>
      </c>
    </row>
    <row r="42" customFormat="false" ht="15" hidden="false" customHeight="false" outlineLevel="0" collapsed="false">
      <c r="A42" s="11" t="n">
        <v>46196</v>
      </c>
      <c r="B42" s="2" t="n">
        <v>2026</v>
      </c>
      <c r="C42" s="2" t="s">
        <v>461</v>
      </c>
      <c r="D42" s="2" t="n">
        <v>26</v>
      </c>
      <c r="E42" s="11" t="n">
        <v>46195</v>
      </c>
      <c r="F42" s="2" t="s">
        <v>459</v>
      </c>
      <c r="G42" s="2" t="s">
        <v>63</v>
      </c>
      <c r="H42" s="12" t="n">
        <v>141</v>
      </c>
      <c r="I42" s="12" t="n">
        <v>16</v>
      </c>
      <c r="J42" s="12" t="n">
        <f aca="false">SUMIFS(Sessions!$I:$I,Sessions!$A:$A,$A42)</f>
        <v>1</v>
      </c>
      <c r="K42" s="12" t="n">
        <f aca="false">SUMIFS(Sessions!$I:$I,Sessions!$A:$A,$A42,Sessions!$B:$B,"ChatGPT")</f>
        <v>1</v>
      </c>
      <c r="L42" s="12" t="n">
        <f aca="false">SUMIFS(Sessions!$I:$I,Sessions!$A:$A,$A42,Sessions!$B:$B,"Claude")</f>
        <v>0</v>
      </c>
      <c r="M42" s="12" t="n">
        <f aca="false">SUMIFS(Sessions!$I:$I,Sessions!$A:$A,$A42,Sessions!$B:$B,"Gemini")</f>
        <v>0</v>
      </c>
      <c r="N42" s="12" t="n">
        <f aca="false">SUMIFS(Sessions!$I:$I,Sessions!$A:$A,$A42,Sessions!$B:$B,"Copilot")</f>
        <v>0</v>
      </c>
      <c r="O42" s="14" t="n">
        <f aca="false">IFERROR(J42/H42,"")</f>
        <v>0.00709219858156028</v>
      </c>
      <c r="P42" s="15" t="n">
        <f aca="false">IFERROR(N42/H42,"")</f>
        <v>0</v>
      </c>
      <c r="Q42" s="2" t="s">
        <v>455</v>
      </c>
    </row>
    <row r="43" customFormat="false" ht="15" hidden="false" customHeight="false" outlineLevel="0" collapsed="false">
      <c r="A43" s="11" t="n">
        <v>46197</v>
      </c>
      <c r="B43" s="2" t="n">
        <v>2026</v>
      </c>
      <c r="C43" s="2" t="s">
        <v>461</v>
      </c>
      <c r="D43" s="2" t="n">
        <v>26</v>
      </c>
      <c r="E43" s="11" t="n">
        <v>46195</v>
      </c>
      <c r="F43" s="2" t="s">
        <v>460</v>
      </c>
      <c r="G43" s="2" t="s">
        <v>63</v>
      </c>
      <c r="H43" s="12" t="n">
        <v>127</v>
      </c>
      <c r="I43" s="12" t="n">
        <v>18</v>
      </c>
      <c r="J43" s="12" t="n">
        <f aca="false">SUMIFS(Sessions!$I:$I,Sessions!$A:$A,$A43)</f>
        <v>3</v>
      </c>
      <c r="K43" s="12" t="n">
        <f aca="false">SUMIFS(Sessions!$I:$I,Sessions!$A:$A,$A43,Sessions!$B:$B,"ChatGPT")</f>
        <v>2</v>
      </c>
      <c r="L43" s="12" t="n">
        <f aca="false">SUMIFS(Sessions!$I:$I,Sessions!$A:$A,$A43,Sessions!$B:$B,"Claude")</f>
        <v>0</v>
      </c>
      <c r="M43" s="12" t="n">
        <f aca="false">SUMIFS(Sessions!$I:$I,Sessions!$A:$A,$A43,Sessions!$B:$B,"Gemini")</f>
        <v>1</v>
      </c>
      <c r="N43" s="12" t="n">
        <f aca="false">SUMIFS(Sessions!$I:$I,Sessions!$A:$A,$A43,Sessions!$B:$B,"Copilot")</f>
        <v>0</v>
      </c>
      <c r="O43" s="14" t="n">
        <f aca="false">IFERROR(J43/H43,"")</f>
        <v>0.0236220472440945</v>
      </c>
      <c r="P43" s="15" t="n">
        <f aca="false">IFERROR(N43/H43,"")</f>
        <v>0</v>
      </c>
      <c r="Q43" s="2" t="s">
        <v>455</v>
      </c>
    </row>
    <row r="44" customFormat="false" ht="15" hidden="false" customHeight="false" outlineLevel="0" collapsed="false">
      <c r="A44" s="11" t="n">
        <v>46198</v>
      </c>
      <c r="B44" s="2" t="n">
        <v>2026</v>
      </c>
      <c r="C44" s="2" t="s">
        <v>461</v>
      </c>
      <c r="D44" s="2" t="n">
        <v>26</v>
      </c>
      <c r="E44" s="11" t="n">
        <v>46195</v>
      </c>
      <c r="F44" s="2" t="s">
        <v>452</v>
      </c>
      <c r="G44" s="2" t="s">
        <v>63</v>
      </c>
      <c r="H44" s="12" t="n">
        <v>66</v>
      </c>
      <c r="I44" s="12" t="n">
        <v>9</v>
      </c>
      <c r="J44" s="12" t="n">
        <f aca="false">SUMIFS(Sessions!$I:$I,Sessions!$A:$A,$A44)</f>
        <v>0</v>
      </c>
      <c r="K44" s="12" t="n">
        <f aca="false">SUMIFS(Sessions!$I:$I,Sessions!$A:$A,$A44,Sessions!$B:$B,"ChatGPT")</f>
        <v>0</v>
      </c>
      <c r="L44" s="12" t="n">
        <f aca="false">SUMIFS(Sessions!$I:$I,Sessions!$A:$A,$A44,Sessions!$B:$B,"Claude")</f>
        <v>0</v>
      </c>
      <c r="M44" s="12" t="n">
        <f aca="false">SUMIFS(Sessions!$I:$I,Sessions!$A:$A,$A44,Sessions!$B:$B,"Gemini")</f>
        <v>0</v>
      </c>
      <c r="N44" s="12" t="n">
        <f aca="false">SUMIFS(Sessions!$I:$I,Sessions!$A:$A,$A44,Sessions!$B:$B,"Copilot")</f>
        <v>0</v>
      </c>
      <c r="O44" s="14" t="n">
        <f aca="false">IFERROR(J44/H44,"")</f>
        <v>0</v>
      </c>
      <c r="P44" s="15" t="n">
        <f aca="false">IFERROR(N44/H44,"")</f>
        <v>0</v>
      </c>
      <c r="Q44" s="2" t="s">
        <v>455</v>
      </c>
    </row>
    <row r="45" customFormat="false" ht="15" hidden="false" customHeight="false" outlineLevel="0" collapsed="false">
      <c r="A45" s="11" t="n">
        <v>46199</v>
      </c>
      <c r="B45" s="2" t="n">
        <v>2026</v>
      </c>
      <c r="C45" s="2" t="s">
        <v>461</v>
      </c>
      <c r="D45" s="2" t="n">
        <v>26</v>
      </c>
      <c r="E45" s="11" t="n">
        <v>46195</v>
      </c>
      <c r="F45" s="2" t="s">
        <v>454</v>
      </c>
      <c r="G45" s="2" t="s">
        <v>63</v>
      </c>
      <c r="H45" s="12" t="n">
        <v>46</v>
      </c>
      <c r="I45" s="12" t="n">
        <v>12</v>
      </c>
      <c r="J45" s="12" t="n">
        <f aca="false">SUMIFS(Sessions!$I:$I,Sessions!$A:$A,$A45)</f>
        <v>3</v>
      </c>
      <c r="K45" s="12" t="n">
        <f aca="false">SUMIFS(Sessions!$I:$I,Sessions!$A:$A,$A45,Sessions!$B:$B,"ChatGPT")</f>
        <v>0</v>
      </c>
      <c r="L45" s="12" t="n">
        <f aca="false">SUMIFS(Sessions!$I:$I,Sessions!$A:$A,$A45,Sessions!$B:$B,"Claude")</f>
        <v>0</v>
      </c>
      <c r="M45" s="12" t="n">
        <f aca="false">SUMIFS(Sessions!$I:$I,Sessions!$A:$A,$A45,Sessions!$B:$B,"Gemini")</f>
        <v>3</v>
      </c>
      <c r="N45" s="12" t="n">
        <f aca="false">SUMIFS(Sessions!$I:$I,Sessions!$A:$A,$A45,Sessions!$B:$B,"Copilot")</f>
        <v>0</v>
      </c>
      <c r="O45" s="14" t="n">
        <f aca="false">IFERROR(J45/H45,"")</f>
        <v>0.0652173913043478</v>
      </c>
      <c r="P45" s="15" t="n">
        <f aca="false">IFERROR(N45/H45,"")</f>
        <v>0</v>
      </c>
      <c r="Q45" s="2" t="s">
        <v>455</v>
      </c>
    </row>
    <row r="46" customFormat="false" ht="15" hidden="false" customHeight="false" outlineLevel="0" collapsed="false">
      <c r="A46" s="11" t="n">
        <v>46200</v>
      </c>
      <c r="B46" s="2" t="n">
        <v>2026</v>
      </c>
      <c r="C46" s="2" t="s">
        <v>461</v>
      </c>
      <c r="D46" s="2" t="n">
        <v>26</v>
      </c>
      <c r="E46" s="11" t="n">
        <v>46195</v>
      </c>
      <c r="F46" s="2" t="s">
        <v>456</v>
      </c>
      <c r="G46" s="2" t="s">
        <v>75</v>
      </c>
      <c r="H46" s="12" t="n">
        <v>36</v>
      </c>
      <c r="I46" s="12" t="n">
        <v>9</v>
      </c>
      <c r="J46" s="12" t="n">
        <f aca="false">SUMIFS(Sessions!$I:$I,Sessions!$A:$A,$A46)</f>
        <v>1</v>
      </c>
      <c r="K46" s="12" t="n">
        <f aca="false">SUMIFS(Sessions!$I:$I,Sessions!$A:$A,$A46,Sessions!$B:$B,"ChatGPT")</f>
        <v>0</v>
      </c>
      <c r="L46" s="12" t="n">
        <f aca="false">SUMIFS(Sessions!$I:$I,Sessions!$A:$A,$A46,Sessions!$B:$B,"Claude")</f>
        <v>1</v>
      </c>
      <c r="M46" s="12" t="n">
        <f aca="false">SUMIFS(Sessions!$I:$I,Sessions!$A:$A,$A46,Sessions!$B:$B,"Gemini")</f>
        <v>0</v>
      </c>
      <c r="N46" s="12" t="n">
        <f aca="false">SUMIFS(Sessions!$I:$I,Sessions!$A:$A,$A46,Sessions!$B:$B,"Copilot")</f>
        <v>0</v>
      </c>
      <c r="O46" s="14" t="n">
        <f aca="false">IFERROR(J46/H46,"")</f>
        <v>0.0277777777777778</v>
      </c>
      <c r="P46" s="15" t="n">
        <f aca="false">IFERROR(N46/H46,"")</f>
        <v>0</v>
      </c>
      <c r="Q46" s="2" t="s">
        <v>455</v>
      </c>
    </row>
    <row r="47" customFormat="false" ht="15" hidden="false" customHeight="false" outlineLevel="0" collapsed="false">
      <c r="A47" s="11" t="n">
        <v>46201</v>
      </c>
      <c r="B47" s="2" t="n">
        <v>2026</v>
      </c>
      <c r="C47" s="2" t="s">
        <v>461</v>
      </c>
      <c r="D47" s="2" t="n">
        <v>26</v>
      </c>
      <c r="E47" s="11" t="n">
        <v>46195</v>
      </c>
      <c r="F47" s="2" t="s">
        <v>457</v>
      </c>
      <c r="G47" s="2" t="s">
        <v>75</v>
      </c>
      <c r="H47" s="12" t="n">
        <v>80</v>
      </c>
      <c r="I47" s="12" t="n">
        <v>13</v>
      </c>
      <c r="J47" s="12" t="n">
        <f aca="false">SUMIFS(Sessions!$I:$I,Sessions!$A:$A,$A47)</f>
        <v>0</v>
      </c>
      <c r="K47" s="12" t="n">
        <f aca="false">SUMIFS(Sessions!$I:$I,Sessions!$A:$A,$A47,Sessions!$B:$B,"ChatGPT")</f>
        <v>0</v>
      </c>
      <c r="L47" s="12" t="n">
        <f aca="false">SUMIFS(Sessions!$I:$I,Sessions!$A:$A,$A47,Sessions!$B:$B,"Claude")</f>
        <v>0</v>
      </c>
      <c r="M47" s="12" t="n">
        <f aca="false">SUMIFS(Sessions!$I:$I,Sessions!$A:$A,$A47,Sessions!$B:$B,"Gemini")</f>
        <v>0</v>
      </c>
      <c r="N47" s="12" t="n">
        <f aca="false">SUMIFS(Sessions!$I:$I,Sessions!$A:$A,$A47,Sessions!$B:$B,"Copilot")</f>
        <v>0</v>
      </c>
      <c r="O47" s="14" t="n">
        <f aca="false">IFERROR(J47/H47,"")</f>
        <v>0</v>
      </c>
      <c r="P47" s="15" t="n">
        <f aca="false">IFERROR(N47/H47,"")</f>
        <v>0</v>
      </c>
      <c r="Q47" s="2" t="s">
        <v>455</v>
      </c>
    </row>
    <row r="48" customFormat="false" ht="15" hidden="false" customHeight="false" outlineLevel="0" collapsed="false">
      <c r="A48" s="11" t="n">
        <v>46202</v>
      </c>
      <c r="B48" s="2" t="n">
        <v>2026</v>
      </c>
      <c r="C48" s="2" t="s">
        <v>461</v>
      </c>
      <c r="D48" s="2" t="n">
        <v>27</v>
      </c>
      <c r="E48" s="11" t="n">
        <v>46202</v>
      </c>
      <c r="F48" s="2" t="s">
        <v>458</v>
      </c>
      <c r="G48" s="2" t="s">
        <v>63</v>
      </c>
      <c r="H48" s="12" t="n">
        <v>121</v>
      </c>
      <c r="I48" s="12" t="n">
        <v>16</v>
      </c>
      <c r="J48" s="12" t="n">
        <f aca="false">SUMIFS(Sessions!$I:$I,Sessions!$A:$A,$A48)</f>
        <v>0</v>
      </c>
      <c r="K48" s="12" t="n">
        <f aca="false">SUMIFS(Sessions!$I:$I,Sessions!$A:$A,$A48,Sessions!$B:$B,"ChatGPT")</f>
        <v>0</v>
      </c>
      <c r="L48" s="12" t="n">
        <f aca="false">SUMIFS(Sessions!$I:$I,Sessions!$A:$A,$A48,Sessions!$B:$B,"Claude")</f>
        <v>0</v>
      </c>
      <c r="M48" s="12" t="n">
        <f aca="false">SUMIFS(Sessions!$I:$I,Sessions!$A:$A,$A48,Sessions!$B:$B,"Gemini")</f>
        <v>0</v>
      </c>
      <c r="N48" s="12" t="n">
        <f aca="false">SUMIFS(Sessions!$I:$I,Sessions!$A:$A,$A48,Sessions!$B:$B,"Copilot")</f>
        <v>0</v>
      </c>
      <c r="O48" s="14" t="n">
        <f aca="false">IFERROR(J48/H48,"")</f>
        <v>0</v>
      </c>
      <c r="P48" s="15" t="n">
        <f aca="false">IFERROR(N48/H48,"")</f>
        <v>0</v>
      </c>
      <c r="Q48" s="2" t="s">
        <v>455</v>
      </c>
    </row>
    <row r="49" customFormat="false" ht="15" hidden="false" customHeight="false" outlineLevel="0" collapsed="false">
      <c r="A49" s="11" t="n">
        <v>46203</v>
      </c>
      <c r="B49" s="2" t="n">
        <v>2026</v>
      </c>
      <c r="C49" s="2" t="s">
        <v>461</v>
      </c>
      <c r="D49" s="2" t="n">
        <v>27</v>
      </c>
      <c r="E49" s="11" t="n">
        <v>46202</v>
      </c>
      <c r="F49" s="2" t="s">
        <v>459</v>
      </c>
      <c r="G49" s="2" t="s">
        <v>63</v>
      </c>
      <c r="H49" s="12" t="n">
        <v>73</v>
      </c>
      <c r="I49" s="12" t="n">
        <v>13</v>
      </c>
      <c r="J49" s="12" t="n">
        <f aca="false">SUMIFS(Sessions!$I:$I,Sessions!$A:$A,$A49)</f>
        <v>0</v>
      </c>
      <c r="K49" s="12" t="n">
        <f aca="false">SUMIFS(Sessions!$I:$I,Sessions!$A:$A,$A49,Sessions!$B:$B,"ChatGPT")</f>
        <v>0</v>
      </c>
      <c r="L49" s="12" t="n">
        <f aca="false">SUMIFS(Sessions!$I:$I,Sessions!$A:$A,$A49,Sessions!$B:$B,"Claude")</f>
        <v>0</v>
      </c>
      <c r="M49" s="12" t="n">
        <f aca="false">SUMIFS(Sessions!$I:$I,Sessions!$A:$A,$A49,Sessions!$B:$B,"Gemini")</f>
        <v>0</v>
      </c>
      <c r="N49" s="12" t="n">
        <f aca="false">SUMIFS(Sessions!$I:$I,Sessions!$A:$A,$A49,Sessions!$B:$B,"Copilot")</f>
        <v>0</v>
      </c>
      <c r="O49" s="14" t="n">
        <f aca="false">IFERROR(J49/H49,"")</f>
        <v>0</v>
      </c>
      <c r="P49" s="15" t="n">
        <f aca="false">IFERROR(N49/H49,"")</f>
        <v>0</v>
      </c>
      <c r="Q49" s="2" t="s">
        <v>455</v>
      </c>
    </row>
    <row r="50" customFormat="false" ht="15" hidden="false" customHeight="false" outlineLevel="0" collapsed="false">
      <c r="A50" s="11" t="n">
        <v>46204</v>
      </c>
      <c r="B50" s="2" t="n">
        <v>2026</v>
      </c>
      <c r="C50" s="2" t="s">
        <v>462</v>
      </c>
      <c r="D50" s="2" t="n">
        <v>27</v>
      </c>
      <c r="E50" s="11" t="n">
        <v>46202</v>
      </c>
      <c r="F50" s="2" t="s">
        <v>460</v>
      </c>
      <c r="G50" s="2" t="s">
        <v>63</v>
      </c>
      <c r="H50" s="12" t="n">
        <v>90</v>
      </c>
      <c r="I50" s="12" t="n">
        <v>17</v>
      </c>
      <c r="J50" s="12" t="n">
        <f aca="false">SUMIFS(Sessions!$I:$I,Sessions!$A:$A,$A50)</f>
        <v>1</v>
      </c>
      <c r="K50" s="12" t="n">
        <f aca="false">SUMIFS(Sessions!$I:$I,Sessions!$A:$A,$A50,Sessions!$B:$B,"ChatGPT")</f>
        <v>0</v>
      </c>
      <c r="L50" s="12" t="n">
        <f aca="false">SUMIFS(Sessions!$I:$I,Sessions!$A:$A,$A50,Sessions!$B:$B,"Claude")</f>
        <v>1</v>
      </c>
      <c r="M50" s="12" t="n">
        <f aca="false">SUMIFS(Sessions!$I:$I,Sessions!$A:$A,$A50,Sessions!$B:$B,"Gemini")</f>
        <v>0</v>
      </c>
      <c r="N50" s="12" t="n">
        <f aca="false">SUMIFS(Sessions!$I:$I,Sessions!$A:$A,$A50,Sessions!$B:$B,"Copilot")</f>
        <v>0</v>
      </c>
      <c r="O50" s="14" t="n">
        <f aca="false">IFERROR(J50/H50,"")</f>
        <v>0.0111111111111111</v>
      </c>
      <c r="P50" s="15" t="n">
        <f aca="false">IFERROR(N50/H50,"")</f>
        <v>0</v>
      </c>
      <c r="Q50" s="2" t="s">
        <v>455</v>
      </c>
    </row>
    <row r="51" customFormat="false" ht="15" hidden="false" customHeight="false" outlineLevel="0" collapsed="false">
      <c r="A51" s="11" t="n">
        <v>46205</v>
      </c>
      <c r="B51" s="2" t="n">
        <v>2026</v>
      </c>
      <c r="C51" s="2" t="s">
        <v>462</v>
      </c>
      <c r="D51" s="2" t="n">
        <v>27</v>
      </c>
      <c r="E51" s="11" t="n">
        <v>46202</v>
      </c>
      <c r="F51" s="2" t="s">
        <v>452</v>
      </c>
      <c r="G51" s="2" t="s">
        <v>63</v>
      </c>
      <c r="H51" s="12" t="n">
        <v>95</v>
      </c>
      <c r="I51" s="12" t="n">
        <v>17</v>
      </c>
      <c r="J51" s="12" t="n">
        <f aca="false">SUMIFS(Sessions!$I:$I,Sessions!$A:$A,$A51)</f>
        <v>2</v>
      </c>
      <c r="K51" s="12" t="n">
        <f aca="false">SUMIFS(Sessions!$I:$I,Sessions!$A:$A,$A51,Sessions!$B:$B,"ChatGPT")</f>
        <v>2</v>
      </c>
      <c r="L51" s="12" t="n">
        <f aca="false">SUMIFS(Sessions!$I:$I,Sessions!$A:$A,$A51,Sessions!$B:$B,"Claude")</f>
        <v>0</v>
      </c>
      <c r="M51" s="12" t="n">
        <f aca="false">SUMIFS(Sessions!$I:$I,Sessions!$A:$A,$A51,Sessions!$B:$B,"Gemini")</f>
        <v>0</v>
      </c>
      <c r="N51" s="12" t="n">
        <f aca="false">SUMIFS(Sessions!$I:$I,Sessions!$A:$A,$A51,Sessions!$B:$B,"Copilot")</f>
        <v>0</v>
      </c>
      <c r="O51" s="14" t="n">
        <f aca="false">IFERROR(J51/H51,"")</f>
        <v>0.0210526315789474</v>
      </c>
      <c r="P51" s="15" t="n">
        <f aca="false">IFERROR(N51/H51,"")</f>
        <v>0</v>
      </c>
      <c r="Q51" s="2" t="s">
        <v>455</v>
      </c>
    </row>
    <row r="52" customFormat="false" ht="15" hidden="false" customHeight="false" outlineLevel="0" collapsed="false">
      <c r="A52" s="11" t="n">
        <v>46206</v>
      </c>
      <c r="B52" s="2" t="n">
        <v>2026</v>
      </c>
      <c r="C52" s="2" t="s">
        <v>462</v>
      </c>
      <c r="D52" s="2" t="n">
        <v>27</v>
      </c>
      <c r="E52" s="11" t="n">
        <v>46202</v>
      </c>
      <c r="F52" s="2" t="s">
        <v>454</v>
      </c>
      <c r="G52" s="2" t="s">
        <v>63</v>
      </c>
      <c r="H52" s="12" t="n">
        <v>27</v>
      </c>
      <c r="I52" s="12" t="n">
        <v>6</v>
      </c>
      <c r="J52" s="12" t="n">
        <f aca="false">SUMIFS(Sessions!$I:$I,Sessions!$A:$A,$A52)</f>
        <v>4</v>
      </c>
      <c r="K52" s="12" t="n">
        <f aca="false">SUMIFS(Sessions!$I:$I,Sessions!$A:$A,$A52,Sessions!$B:$B,"ChatGPT")</f>
        <v>4</v>
      </c>
      <c r="L52" s="12" t="n">
        <f aca="false">SUMIFS(Sessions!$I:$I,Sessions!$A:$A,$A52,Sessions!$B:$B,"Claude")</f>
        <v>0</v>
      </c>
      <c r="M52" s="12" t="n">
        <f aca="false">SUMIFS(Sessions!$I:$I,Sessions!$A:$A,$A52,Sessions!$B:$B,"Gemini")</f>
        <v>0</v>
      </c>
      <c r="N52" s="12" t="n">
        <f aca="false">SUMIFS(Sessions!$I:$I,Sessions!$A:$A,$A52,Sessions!$B:$B,"Copilot")</f>
        <v>0</v>
      </c>
      <c r="O52" s="14" t="n">
        <f aca="false">IFERROR(J52/H52,"")</f>
        <v>0.148148148148148</v>
      </c>
      <c r="P52" s="15" t="n">
        <f aca="false">IFERROR(N52/H52,"")</f>
        <v>0</v>
      </c>
      <c r="Q52" s="2" t="s">
        <v>455</v>
      </c>
    </row>
    <row r="53" customFormat="false" ht="15" hidden="false" customHeight="false" outlineLevel="0" collapsed="false">
      <c r="A53" s="11" t="n">
        <v>46207</v>
      </c>
      <c r="B53" s="2" t="n">
        <v>2026</v>
      </c>
      <c r="C53" s="2" t="s">
        <v>462</v>
      </c>
      <c r="D53" s="2" t="n">
        <v>27</v>
      </c>
      <c r="E53" s="11" t="n">
        <v>46202</v>
      </c>
      <c r="F53" s="2" t="s">
        <v>456</v>
      </c>
      <c r="G53" s="2" t="s">
        <v>75</v>
      </c>
      <c r="H53" s="12" t="n">
        <v>46</v>
      </c>
      <c r="I53" s="12" t="n">
        <v>5</v>
      </c>
      <c r="J53" s="12" t="n">
        <f aca="false">SUMIFS(Sessions!$I:$I,Sessions!$A:$A,$A53)</f>
        <v>1</v>
      </c>
      <c r="K53" s="12" t="n">
        <f aca="false">SUMIFS(Sessions!$I:$I,Sessions!$A:$A,$A53,Sessions!$B:$B,"ChatGPT")</f>
        <v>1</v>
      </c>
      <c r="L53" s="12" t="n">
        <f aca="false">SUMIFS(Sessions!$I:$I,Sessions!$A:$A,$A53,Sessions!$B:$B,"Claude")</f>
        <v>0</v>
      </c>
      <c r="M53" s="12" t="n">
        <f aca="false">SUMIFS(Sessions!$I:$I,Sessions!$A:$A,$A53,Sessions!$B:$B,"Gemini")</f>
        <v>0</v>
      </c>
      <c r="N53" s="12" t="n">
        <f aca="false">SUMIFS(Sessions!$I:$I,Sessions!$A:$A,$A53,Sessions!$B:$B,"Copilot")</f>
        <v>0</v>
      </c>
      <c r="O53" s="14" t="n">
        <f aca="false">IFERROR(J53/H53,"")</f>
        <v>0.0217391304347826</v>
      </c>
      <c r="P53" s="15" t="n">
        <f aca="false">IFERROR(N53/H53,"")</f>
        <v>0</v>
      </c>
      <c r="Q53" s="2" t="s">
        <v>455</v>
      </c>
    </row>
    <row r="54" customFormat="false" ht="15" hidden="false" customHeight="false" outlineLevel="0" collapsed="false">
      <c r="A54" s="11" t="n">
        <v>46208</v>
      </c>
      <c r="B54" s="2" t="n">
        <v>2026</v>
      </c>
      <c r="C54" s="2" t="s">
        <v>462</v>
      </c>
      <c r="D54" s="2" t="n">
        <v>27</v>
      </c>
      <c r="E54" s="11" t="n">
        <v>46202</v>
      </c>
      <c r="F54" s="2" t="s">
        <v>457</v>
      </c>
      <c r="G54" s="2" t="s">
        <v>75</v>
      </c>
      <c r="H54" s="12" t="n">
        <v>31</v>
      </c>
      <c r="I54" s="12" t="n">
        <v>8</v>
      </c>
      <c r="J54" s="12" t="n">
        <f aca="false">SUMIFS(Sessions!$I:$I,Sessions!$A:$A,$A54)</f>
        <v>1</v>
      </c>
      <c r="K54" s="12" t="n">
        <f aca="false">SUMIFS(Sessions!$I:$I,Sessions!$A:$A,$A54,Sessions!$B:$B,"ChatGPT")</f>
        <v>1</v>
      </c>
      <c r="L54" s="12" t="n">
        <f aca="false">SUMIFS(Sessions!$I:$I,Sessions!$A:$A,$A54,Sessions!$B:$B,"Claude")</f>
        <v>0</v>
      </c>
      <c r="M54" s="12" t="n">
        <f aca="false">SUMIFS(Sessions!$I:$I,Sessions!$A:$A,$A54,Sessions!$B:$B,"Gemini")</f>
        <v>0</v>
      </c>
      <c r="N54" s="12" t="n">
        <f aca="false">SUMIFS(Sessions!$I:$I,Sessions!$A:$A,$A54,Sessions!$B:$B,"Copilot")</f>
        <v>0</v>
      </c>
      <c r="O54" s="14" t="n">
        <f aca="false">IFERROR(J54/H54,"")</f>
        <v>0.032258064516129</v>
      </c>
      <c r="P54" s="15" t="n">
        <f aca="false">IFERROR(N54/H54,"")</f>
        <v>0</v>
      </c>
      <c r="Q54" s="2" t="s">
        <v>455</v>
      </c>
    </row>
    <row r="55" customFormat="false" ht="15" hidden="false" customHeight="false" outlineLevel="0" collapsed="false">
      <c r="A55" s="11" t="n">
        <v>46209</v>
      </c>
      <c r="B55" s="2" t="n">
        <v>2026</v>
      </c>
      <c r="C55" s="2" t="s">
        <v>462</v>
      </c>
      <c r="D55" s="2" t="n">
        <v>28</v>
      </c>
      <c r="E55" s="11" t="n">
        <v>46209</v>
      </c>
      <c r="F55" s="2" t="s">
        <v>458</v>
      </c>
      <c r="G55" s="2" t="s">
        <v>63</v>
      </c>
      <c r="H55" s="12" t="n">
        <v>141</v>
      </c>
      <c r="I55" s="12" t="n">
        <v>17</v>
      </c>
      <c r="J55" s="12" t="n">
        <f aca="false">SUMIFS(Sessions!$I:$I,Sessions!$A:$A,$A55)</f>
        <v>3</v>
      </c>
      <c r="K55" s="12" t="n">
        <f aca="false">SUMIFS(Sessions!$I:$I,Sessions!$A:$A,$A55,Sessions!$B:$B,"ChatGPT")</f>
        <v>2</v>
      </c>
      <c r="L55" s="12" t="n">
        <f aca="false">SUMIFS(Sessions!$I:$I,Sessions!$A:$A,$A55,Sessions!$B:$B,"Claude")</f>
        <v>0</v>
      </c>
      <c r="M55" s="12" t="n">
        <f aca="false">SUMIFS(Sessions!$I:$I,Sessions!$A:$A,$A55,Sessions!$B:$B,"Gemini")</f>
        <v>1</v>
      </c>
      <c r="N55" s="12" t="n">
        <f aca="false">SUMIFS(Sessions!$I:$I,Sessions!$A:$A,$A55,Sessions!$B:$B,"Copilot")</f>
        <v>0</v>
      </c>
      <c r="O55" s="14" t="n">
        <f aca="false">IFERROR(J55/H55,"")</f>
        <v>0.0212765957446809</v>
      </c>
      <c r="P55" s="15" t="n">
        <f aca="false">IFERROR(N55/H55,"")</f>
        <v>0</v>
      </c>
      <c r="Q55" s="2" t="s">
        <v>455</v>
      </c>
    </row>
    <row r="56" customFormat="false" ht="15" hidden="false" customHeight="false" outlineLevel="0" collapsed="false">
      <c r="A56" s="11" t="n">
        <v>46210</v>
      </c>
      <c r="B56" s="2" t="n">
        <v>2026</v>
      </c>
      <c r="C56" s="2" t="s">
        <v>462</v>
      </c>
      <c r="D56" s="2" t="n">
        <v>28</v>
      </c>
      <c r="E56" s="11" t="n">
        <v>46209</v>
      </c>
      <c r="F56" s="2" t="s">
        <v>459</v>
      </c>
      <c r="G56" s="2" t="s">
        <v>63</v>
      </c>
      <c r="H56" s="12" t="n">
        <v>82</v>
      </c>
      <c r="I56" s="12" t="n">
        <v>12</v>
      </c>
      <c r="J56" s="12" t="n">
        <f aca="false">SUMIFS(Sessions!$I:$I,Sessions!$A:$A,$A56)</f>
        <v>2</v>
      </c>
      <c r="K56" s="12" t="n">
        <f aca="false">SUMIFS(Sessions!$I:$I,Sessions!$A:$A,$A56,Sessions!$B:$B,"ChatGPT")</f>
        <v>2</v>
      </c>
      <c r="L56" s="12" t="n">
        <f aca="false">SUMIFS(Sessions!$I:$I,Sessions!$A:$A,$A56,Sessions!$B:$B,"Claude")</f>
        <v>0</v>
      </c>
      <c r="M56" s="12" t="n">
        <f aca="false">SUMIFS(Sessions!$I:$I,Sessions!$A:$A,$A56,Sessions!$B:$B,"Gemini")</f>
        <v>0</v>
      </c>
      <c r="N56" s="12" t="n">
        <f aca="false">SUMIFS(Sessions!$I:$I,Sessions!$A:$A,$A56,Sessions!$B:$B,"Copilot")</f>
        <v>0</v>
      </c>
      <c r="O56" s="14" t="n">
        <f aca="false">IFERROR(J56/H56,"")</f>
        <v>0.024390243902439</v>
      </c>
      <c r="P56" s="15" t="n">
        <f aca="false">IFERROR(N56/H56,"")</f>
        <v>0</v>
      </c>
      <c r="Q56" s="2" t="s">
        <v>455</v>
      </c>
    </row>
    <row r="57" customFormat="false" ht="15" hidden="false" customHeight="false" outlineLevel="0" collapsed="false">
      <c r="A57" s="11" t="n">
        <v>46211</v>
      </c>
      <c r="B57" s="2" t="n">
        <v>2026</v>
      </c>
      <c r="C57" s="2" t="s">
        <v>462</v>
      </c>
      <c r="D57" s="2" t="n">
        <v>28</v>
      </c>
      <c r="E57" s="11" t="n">
        <v>46209</v>
      </c>
      <c r="F57" s="2" t="s">
        <v>460</v>
      </c>
      <c r="G57" s="2" t="s">
        <v>63</v>
      </c>
      <c r="H57" s="12" t="n">
        <v>27</v>
      </c>
      <c r="I57" s="12" t="n">
        <v>12</v>
      </c>
      <c r="J57" s="12" t="n">
        <f aca="false">SUMIFS(Sessions!$I:$I,Sessions!$A:$A,$A57)</f>
        <v>1</v>
      </c>
      <c r="K57" s="12" t="n">
        <f aca="false">SUMIFS(Sessions!$I:$I,Sessions!$A:$A,$A57,Sessions!$B:$B,"ChatGPT")</f>
        <v>1</v>
      </c>
      <c r="L57" s="12" t="n">
        <f aca="false">SUMIFS(Sessions!$I:$I,Sessions!$A:$A,$A57,Sessions!$B:$B,"Claude")</f>
        <v>0</v>
      </c>
      <c r="M57" s="12" t="n">
        <f aca="false">SUMIFS(Sessions!$I:$I,Sessions!$A:$A,$A57,Sessions!$B:$B,"Gemini")</f>
        <v>0</v>
      </c>
      <c r="N57" s="12" t="n">
        <f aca="false">SUMIFS(Sessions!$I:$I,Sessions!$A:$A,$A57,Sessions!$B:$B,"Copilot")</f>
        <v>0</v>
      </c>
      <c r="O57" s="14" t="n">
        <f aca="false">IFERROR(J57/H57,"")</f>
        <v>0.037037037037037</v>
      </c>
      <c r="P57" s="15" t="n">
        <f aca="false">IFERROR(N57/H57,"")</f>
        <v>0</v>
      </c>
      <c r="Q57" s="2" t="s">
        <v>455</v>
      </c>
    </row>
    <row r="58" customFormat="false" ht="15" hidden="false" customHeight="false" outlineLevel="0" collapsed="false">
      <c r="A58" s="11" t="n">
        <v>46212</v>
      </c>
      <c r="B58" s="2" t="n">
        <v>2026</v>
      </c>
      <c r="C58" s="2" t="s">
        <v>462</v>
      </c>
      <c r="D58" s="2" t="n">
        <v>28</v>
      </c>
      <c r="E58" s="11" t="n">
        <v>46209</v>
      </c>
      <c r="F58" s="2" t="s">
        <v>452</v>
      </c>
      <c r="G58" s="2" t="s">
        <v>63</v>
      </c>
      <c r="H58" s="12" t="n">
        <v>57</v>
      </c>
      <c r="I58" s="12" t="n">
        <v>10</v>
      </c>
      <c r="J58" s="12" t="n">
        <f aca="false">SUMIFS(Sessions!$I:$I,Sessions!$A:$A,$A58)</f>
        <v>0</v>
      </c>
      <c r="K58" s="12" t="n">
        <f aca="false">SUMIFS(Sessions!$I:$I,Sessions!$A:$A,$A58,Sessions!$B:$B,"ChatGPT")</f>
        <v>0</v>
      </c>
      <c r="L58" s="12" t="n">
        <f aca="false">SUMIFS(Sessions!$I:$I,Sessions!$A:$A,$A58,Sessions!$B:$B,"Claude")</f>
        <v>0</v>
      </c>
      <c r="M58" s="12" t="n">
        <f aca="false">SUMIFS(Sessions!$I:$I,Sessions!$A:$A,$A58,Sessions!$B:$B,"Gemini")</f>
        <v>0</v>
      </c>
      <c r="N58" s="12" t="n">
        <f aca="false">SUMIFS(Sessions!$I:$I,Sessions!$A:$A,$A58,Sessions!$B:$B,"Copilot")</f>
        <v>0</v>
      </c>
      <c r="O58" s="14" t="n">
        <f aca="false">IFERROR(J58/H58,"")</f>
        <v>0</v>
      </c>
      <c r="P58" s="15" t="n">
        <f aca="false">IFERROR(N58/H58,"")</f>
        <v>0</v>
      </c>
      <c r="Q58" s="2" t="s">
        <v>455</v>
      </c>
    </row>
    <row r="59" customFormat="false" ht="15" hidden="false" customHeight="false" outlineLevel="0" collapsed="false">
      <c r="A59" s="11" t="n">
        <v>46213</v>
      </c>
      <c r="B59" s="2" t="n">
        <v>2026</v>
      </c>
      <c r="C59" s="2" t="s">
        <v>462</v>
      </c>
      <c r="D59" s="2" t="n">
        <v>28</v>
      </c>
      <c r="E59" s="11" t="n">
        <v>46209</v>
      </c>
      <c r="F59" s="2" t="s">
        <v>454</v>
      </c>
      <c r="G59" s="2" t="s">
        <v>63</v>
      </c>
      <c r="H59" s="12" t="n">
        <v>24</v>
      </c>
      <c r="I59" s="12" t="n">
        <v>4</v>
      </c>
      <c r="J59" s="12" t="n">
        <f aca="false">SUMIFS(Sessions!$I:$I,Sessions!$A:$A,$A59)</f>
        <v>1</v>
      </c>
      <c r="K59" s="12" t="n">
        <f aca="false">SUMIFS(Sessions!$I:$I,Sessions!$A:$A,$A59,Sessions!$B:$B,"ChatGPT")</f>
        <v>1</v>
      </c>
      <c r="L59" s="12" t="n">
        <f aca="false">SUMIFS(Sessions!$I:$I,Sessions!$A:$A,$A59,Sessions!$B:$B,"Claude")</f>
        <v>0</v>
      </c>
      <c r="M59" s="12" t="n">
        <f aca="false">SUMIFS(Sessions!$I:$I,Sessions!$A:$A,$A59,Sessions!$B:$B,"Gemini")</f>
        <v>0</v>
      </c>
      <c r="N59" s="12" t="n">
        <f aca="false">SUMIFS(Sessions!$I:$I,Sessions!$A:$A,$A59,Sessions!$B:$B,"Copilot")</f>
        <v>0</v>
      </c>
      <c r="O59" s="14" t="n">
        <f aca="false">IFERROR(J59/H59,"")</f>
        <v>0.0416666666666667</v>
      </c>
      <c r="P59" s="15" t="n">
        <f aca="false">IFERROR(N59/H59,"")</f>
        <v>0</v>
      </c>
      <c r="Q59" s="2" t="s">
        <v>455</v>
      </c>
    </row>
    <row r="60" customFormat="false" ht="15" hidden="false" customHeight="false" outlineLevel="0" collapsed="false">
      <c r="A60" s="11" t="n">
        <v>46214</v>
      </c>
      <c r="B60" s="2" t="n">
        <v>2026</v>
      </c>
      <c r="C60" s="2" t="s">
        <v>462</v>
      </c>
      <c r="D60" s="2" t="n">
        <v>28</v>
      </c>
      <c r="E60" s="11" t="n">
        <v>46209</v>
      </c>
      <c r="F60" s="2" t="s">
        <v>456</v>
      </c>
      <c r="G60" s="2" t="s">
        <v>75</v>
      </c>
      <c r="H60" s="12" t="n">
        <v>12</v>
      </c>
      <c r="I60" s="12" t="n">
        <v>3</v>
      </c>
      <c r="J60" s="12" t="n">
        <f aca="false">SUMIFS(Sessions!$I:$I,Sessions!$A:$A,$A60)</f>
        <v>0</v>
      </c>
      <c r="K60" s="12" t="n">
        <f aca="false">SUMIFS(Sessions!$I:$I,Sessions!$A:$A,$A60,Sessions!$B:$B,"ChatGPT")</f>
        <v>0</v>
      </c>
      <c r="L60" s="12" t="n">
        <f aca="false">SUMIFS(Sessions!$I:$I,Sessions!$A:$A,$A60,Sessions!$B:$B,"Claude")</f>
        <v>0</v>
      </c>
      <c r="M60" s="12" t="n">
        <f aca="false">SUMIFS(Sessions!$I:$I,Sessions!$A:$A,$A60,Sessions!$B:$B,"Gemini")</f>
        <v>0</v>
      </c>
      <c r="N60" s="12" t="n">
        <f aca="false">SUMIFS(Sessions!$I:$I,Sessions!$A:$A,$A60,Sessions!$B:$B,"Copilot")</f>
        <v>0</v>
      </c>
      <c r="O60" s="14" t="n">
        <f aca="false">IFERROR(J60/H60,"")</f>
        <v>0</v>
      </c>
      <c r="P60" s="15" t="n">
        <f aca="false">IFERROR(N60/H60,"")</f>
        <v>0</v>
      </c>
      <c r="Q60" s="2" t="s">
        <v>455</v>
      </c>
    </row>
    <row r="61" customFormat="false" ht="15" hidden="false" customHeight="false" outlineLevel="0" collapsed="false">
      <c r="A61" s="11" t="n">
        <v>46215</v>
      </c>
      <c r="B61" s="2" t="n">
        <v>2026</v>
      </c>
      <c r="C61" s="2" t="s">
        <v>462</v>
      </c>
      <c r="D61" s="2" t="n">
        <v>28</v>
      </c>
      <c r="E61" s="11" t="n">
        <v>46209</v>
      </c>
      <c r="F61" s="2" t="s">
        <v>457</v>
      </c>
      <c r="G61" s="2" t="s">
        <v>75</v>
      </c>
      <c r="H61" s="12" t="n">
        <v>84</v>
      </c>
      <c r="I61" s="12" t="n">
        <v>14</v>
      </c>
      <c r="J61" s="12" t="n">
        <f aca="false">SUMIFS(Sessions!$I:$I,Sessions!$A:$A,$A61)</f>
        <v>1</v>
      </c>
      <c r="K61" s="12" t="n">
        <f aca="false">SUMIFS(Sessions!$I:$I,Sessions!$A:$A,$A61,Sessions!$B:$B,"ChatGPT")</f>
        <v>1</v>
      </c>
      <c r="L61" s="12" t="n">
        <f aca="false">SUMIFS(Sessions!$I:$I,Sessions!$A:$A,$A61,Sessions!$B:$B,"Claude")</f>
        <v>0</v>
      </c>
      <c r="M61" s="12" t="n">
        <f aca="false">SUMIFS(Sessions!$I:$I,Sessions!$A:$A,$A61,Sessions!$B:$B,"Gemini")</f>
        <v>0</v>
      </c>
      <c r="N61" s="12" t="n">
        <f aca="false">SUMIFS(Sessions!$I:$I,Sessions!$A:$A,$A61,Sessions!$B:$B,"Copilot")</f>
        <v>0</v>
      </c>
      <c r="O61" s="14" t="n">
        <f aca="false">IFERROR(J61/H61,"")</f>
        <v>0.0119047619047619</v>
      </c>
      <c r="P61" s="15" t="n">
        <f aca="false">IFERROR(N61/H61,"")</f>
        <v>0</v>
      </c>
      <c r="Q61" s="2" t="s">
        <v>455</v>
      </c>
    </row>
    <row r="62" customFormat="false" ht="15" hidden="false" customHeight="false" outlineLevel="0" collapsed="false">
      <c r="A62" s="11" t="n">
        <v>46216</v>
      </c>
      <c r="B62" s="2" t="n">
        <v>2026</v>
      </c>
      <c r="C62" s="2" t="s">
        <v>462</v>
      </c>
      <c r="D62" s="2" t="n">
        <v>29</v>
      </c>
      <c r="E62" s="11" t="n">
        <v>46216</v>
      </c>
      <c r="F62" s="2" t="s">
        <v>458</v>
      </c>
      <c r="G62" s="2" t="s">
        <v>63</v>
      </c>
      <c r="H62" s="12" t="n">
        <v>105</v>
      </c>
      <c r="I62" s="12" t="n">
        <v>12</v>
      </c>
      <c r="J62" s="12" t="n">
        <f aca="false">SUMIFS(Sessions!$I:$I,Sessions!$A:$A,$A62)</f>
        <v>2</v>
      </c>
      <c r="K62" s="12" t="n">
        <f aca="false">SUMIFS(Sessions!$I:$I,Sessions!$A:$A,$A62,Sessions!$B:$B,"ChatGPT")</f>
        <v>2</v>
      </c>
      <c r="L62" s="12" t="n">
        <f aca="false">SUMIFS(Sessions!$I:$I,Sessions!$A:$A,$A62,Sessions!$B:$B,"Claude")</f>
        <v>0</v>
      </c>
      <c r="M62" s="12" t="n">
        <f aca="false">SUMIFS(Sessions!$I:$I,Sessions!$A:$A,$A62,Sessions!$B:$B,"Gemini")</f>
        <v>0</v>
      </c>
      <c r="N62" s="12" t="n">
        <f aca="false">SUMIFS(Sessions!$I:$I,Sessions!$A:$A,$A62,Sessions!$B:$B,"Copilot")</f>
        <v>0</v>
      </c>
      <c r="O62" s="14" t="n">
        <f aca="false">IFERROR(J62/H62,"")</f>
        <v>0.0190476190476191</v>
      </c>
      <c r="P62" s="15" t="n">
        <f aca="false">IFERROR(N62/H62,"")</f>
        <v>0</v>
      </c>
      <c r="Q62" s="2" t="s">
        <v>455</v>
      </c>
    </row>
    <row r="63" customFormat="false" ht="15" hidden="false" customHeight="false" outlineLevel="0" collapsed="false">
      <c r="A63" s="11" t="n">
        <v>46217</v>
      </c>
      <c r="B63" s="2" t="n">
        <v>2026</v>
      </c>
      <c r="C63" s="2" t="s">
        <v>462</v>
      </c>
      <c r="D63" s="2" t="n">
        <v>29</v>
      </c>
      <c r="E63" s="11" t="n">
        <v>46216</v>
      </c>
      <c r="F63" s="2" t="s">
        <v>459</v>
      </c>
      <c r="G63" s="2" t="s">
        <v>63</v>
      </c>
      <c r="H63" s="12" t="n">
        <v>87</v>
      </c>
      <c r="I63" s="12" t="n">
        <v>8</v>
      </c>
      <c r="J63" s="12" t="n">
        <f aca="false">SUMIFS(Sessions!$I:$I,Sessions!$A:$A,$A63)</f>
        <v>1</v>
      </c>
      <c r="K63" s="12" t="n">
        <f aca="false">SUMIFS(Sessions!$I:$I,Sessions!$A:$A,$A63,Sessions!$B:$B,"ChatGPT")</f>
        <v>1</v>
      </c>
      <c r="L63" s="12" t="n">
        <f aca="false">SUMIFS(Sessions!$I:$I,Sessions!$A:$A,$A63,Sessions!$B:$B,"Claude")</f>
        <v>0</v>
      </c>
      <c r="M63" s="12" t="n">
        <f aca="false">SUMIFS(Sessions!$I:$I,Sessions!$A:$A,$A63,Sessions!$B:$B,"Gemini")</f>
        <v>0</v>
      </c>
      <c r="N63" s="12" t="n">
        <f aca="false">SUMIFS(Sessions!$I:$I,Sessions!$A:$A,$A63,Sessions!$B:$B,"Copilot")</f>
        <v>0</v>
      </c>
      <c r="O63" s="14" t="n">
        <f aca="false">IFERROR(J63/H63,"")</f>
        <v>0.0114942528735632</v>
      </c>
      <c r="P63" s="15" t="n">
        <f aca="false">IFERROR(N63/H63,"")</f>
        <v>0</v>
      </c>
      <c r="Q63" s="2" t="s">
        <v>455</v>
      </c>
    </row>
    <row r="64" customFormat="false" ht="15" hidden="false" customHeight="false" outlineLevel="0" collapsed="false">
      <c r="A64" s="11" t="n">
        <v>46218</v>
      </c>
      <c r="B64" s="2" t="n">
        <v>2026</v>
      </c>
      <c r="C64" s="2" t="s">
        <v>462</v>
      </c>
      <c r="D64" s="2" t="n">
        <v>29</v>
      </c>
      <c r="E64" s="11" t="n">
        <v>46216</v>
      </c>
      <c r="F64" s="2" t="s">
        <v>460</v>
      </c>
      <c r="G64" s="2" t="s">
        <v>63</v>
      </c>
      <c r="H64" s="12" t="n">
        <v>72</v>
      </c>
      <c r="I64" s="12" t="n">
        <v>15</v>
      </c>
      <c r="J64" s="12" t="n">
        <f aca="false">SUMIFS(Sessions!$I:$I,Sessions!$A:$A,$A64)</f>
        <v>2</v>
      </c>
      <c r="K64" s="12" t="n">
        <f aca="false">SUMIFS(Sessions!$I:$I,Sessions!$A:$A,$A64,Sessions!$B:$B,"ChatGPT")</f>
        <v>2</v>
      </c>
      <c r="L64" s="12" t="n">
        <f aca="false">SUMIFS(Sessions!$I:$I,Sessions!$A:$A,$A64,Sessions!$B:$B,"Claude")</f>
        <v>0</v>
      </c>
      <c r="M64" s="12" t="n">
        <f aca="false">SUMIFS(Sessions!$I:$I,Sessions!$A:$A,$A64,Sessions!$B:$B,"Gemini")</f>
        <v>0</v>
      </c>
      <c r="N64" s="12" t="n">
        <f aca="false">SUMIFS(Sessions!$I:$I,Sessions!$A:$A,$A64,Sessions!$B:$B,"Copilot")</f>
        <v>0</v>
      </c>
      <c r="O64" s="14" t="n">
        <f aca="false">IFERROR(J64/H64,"")</f>
        <v>0.0277777777777778</v>
      </c>
      <c r="P64" s="15" t="n">
        <f aca="false">IFERROR(N64/H64,"")</f>
        <v>0</v>
      </c>
      <c r="Q64" s="2" t="s">
        <v>455</v>
      </c>
    </row>
    <row r="65" customFormat="false" ht="15" hidden="false" customHeight="false" outlineLevel="0" collapsed="false">
      <c r="A65" s="11" t="n">
        <v>46219</v>
      </c>
      <c r="B65" s="2" t="n">
        <v>2026</v>
      </c>
      <c r="C65" s="2" t="s">
        <v>462</v>
      </c>
      <c r="D65" s="2" t="n">
        <v>29</v>
      </c>
      <c r="E65" s="11" t="n">
        <v>46216</v>
      </c>
      <c r="F65" s="2" t="s">
        <v>452</v>
      </c>
      <c r="G65" s="2" t="s">
        <v>63</v>
      </c>
      <c r="H65" s="12" t="n">
        <v>56</v>
      </c>
      <c r="I65" s="12" t="n">
        <v>13</v>
      </c>
      <c r="J65" s="12" t="n">
        <f aca="false">SUMIFS(Sessions!$I:$I,Sessions!$A:$A,$A65)</f>
        <v>1</v>
      </c>
      <c r="K65" s="12" t="n">
        <f aca="false">SUMIFS(Sessions!$I:$I,Sessions!$A:$A,$A65,Sessions!$B:$B,"ChatGPT")</f>
        <v>1</v>
      </c>
      <c r="L65" s="12" t="n">
        <f aca="false">SUMIFS(Sessions!$I:$I,Sessions!$A:$A,$A65,Sessions!$B:$B,"Claude")</f>
        <v>0</v>
      </c>
      <c r="M65" s="12" t="n">
        <f aca="false">SUMIFS(Sessions!$I:$I,Sessions!$A:$A,$A65,Sessions!$B:$B,"Gemini")</f>
        <v>0</v>
      </c>
      <c r="N65" s="12" t="n">
        <f aca="false">SUMIFS(Sessions!$I:$I,Sessions!$A:$A,$A65,Sessions!$B:$B,"Copilot")</f>
        <v>0</v>
      </c>
      <c r="O65" s="14" t="n">
        <f aca="false">IFERROR(J65/H65,"")</f>
        <v>0.0178571428571429</v>
      </c>
      <c r="P65" s="15" t="n">
        <f aca="false">IFERROR(N65/H65,"")</f>
        <v>0</v>
      </c>
      <c r="Q65" s="2" t="s">
        <v>455</v>
      </c>
    </row>
    <row r="66" customFormat="false" ht="15" hidden="false" customHeight="false" outlineLevel="0" collapsed="false">
      <c r="A66" s="11" t="n">
        <v>46220</v>
      </c>
      <c r="B66" s="2" t="n">
        <v>2026</v>
      </c>
      <c r="C66" s="2" t="s">
        <v>462</v>
      </c>
      <c r="D66" s="2" t="n">
        <v>29</v>
      </c>
      <c r="E66" s="11" t="n">
        <v>46216</v>
      </c>
      <c r="F66" s="2" t="s">
        <v>454</v>
      </c>
      <c r="G66" s="2" t="s">
        <v>63</v>
      </c>
      <c r="H66" s="12" t="n">
        <v>78</v>
      </c>
      <c r="I66" s="12" t="n">
        <v>6</v>
      </c>
      <c r="J66" s="12" t="n">
        <f aca="false">SUMIFS(Sessions!$I:$I,Sessions!$A:$A,$A66)</f>
        <v>2</v>
      </c>
      <c r="K66" s="12" t="n">
        <f aca="false">SUMIFS(Sessions!$I:$I,Sessions!$A:$A,$A66,Sessions!$B:$B,"ChatGPT")</f>
        <v>2</v>
      </c>
      <c r="L66" s="12" t="n">
        <f aca="false">SUMIFS(Sessions!$I:$I,Sessions!$A:$A,$A66,Sessions!$B:$B,"Claude")</f>
        <v>0</v>
      </c>
      <c r="M66" s="12" t="n">
        <f aca="false">SUMIFS(Sessions!$I:$I,Sessions!$A:$A,$A66,Sessions!$B:$B,"Gemini")</f>
        <v>0</v>
      </c>
      <c r="N66" s="12" t="n">
        <f aca="false">SUMIFS(Sessions!$I:$I,Sessions!$A:$A,$A66,Sessions!$B:$B,"Copilot")</f>
        <v>0</v>
      </c>
      <c r="O66" s="14" t="n">
        <f aca="false">IFERROR(J66/H66,"")</f>
        <v>0.0256410256410256</v>
      </c>
      <c r="P66" s="15" t="n">
        <f aca="false">IFERROR(N66/H66,"")</f>
        <v>0</v>
      </c>
      <c r="Q66" s="2" t="s">
        <v>455</v>
      </c>
    </row>
    <row r="67" customFormat="false" ht="15" hidden="false" customHeight="false" outlineLevel="0" collapsed="false">
      <c r="A67" s="11" t="n">
        <v>46221</v>
      </c>
      <c r="B67" s="2" t="n">
        <v>2026</v>
      </c>
      <c r="C67" s="2" t="s">
        <v>462</v>
      </c>
      <c r="D67" s="2" t="n">
        <v>29</v>
      </c>
      <c r="E67" s="11" t="n">
        <v>46216</v>
      </c>
      <c r="F67" s="2" t="s">
        <v>456</v>
      </c>
      <c r="G67" s="2" t="s">
        <v>75</v>
      </c>
      <c r="H67" s="12" t="n">
        <v>16</v>
      </c>
      <c r="I67" s="12" t="n">
        <v>4</v>
      </c>
      <c r="J67" s="12" t="n">
        <f aca="false">SUMIFS(Sessions!$I:$I,Sessions!$A:$A,$A67)</f>
        <v>3</v>
      </c>
      <c r="K67" s="12" t="n">
        <f aca="false">SUMIFS(Sessions!$I:$I,Sessions!$A:$A,$A67,Sessions!$B:$B,"ChatGPT")</f>
        <v>3</v>
      </c>
      <c r="L67" s="12" t="n">
        <f aca="false">SUMIFS(Sessions!$I:$I,Sessions!$A:$A,$A67,Sessions!$B:$B,"Claude")</f>
        <v>0</v>
      </c>
      <c r="M67" s="12" t="n">
        <f aca="false">SUMIFS(Sessions!$I:$I,Sessions!$A:$A,$A67,Sessions!$B:$B,"Gemini")</f>
        <v>0</v>
      </c>
      <c r="N67" s="12" t="n">
        <f aca="false">SUMIFS(Sessions!$I:$I,Sessions!$A:$A,$A67,Sessions!$B:$B,"Copilot")</f>
        <v>0</v>
      </c>
      <c r="O67" s="14" t="n">
        <f aca="false">IFERROR(J67/H67,"")</f>
        <v>0.1875</v>
      </c>
      <c r="P67" s="15" t="n">
        <f aca="false">IFERROR(N67/H67,"")</f>
        <v>0</v>
      </c>
      <c r="Q67" s="2" t="s">
        <v>455</v>
      </c>
    </row>
    <row r="68" customFormat="false" ht="15" hidden="false" customHeight="false" outlineLevel="0" collapsed="false">
      <c r="A68" s="11" t="n">
        <v>46222</v>
      </c>
      <c r="B68" s="2" t="n">
        <v>2026</v>
      </c>
      <c r="C68" s="2" t="s">
        <v>462</v>
      </c>
      <c r="D68" s="2" t="n">
        <v>29</v>
      </c>
      <c r="E68" s="11" t="n">
        <v>46216</v>
      </c>
      <c r="F68" s="2" t="s">
        <v>457</v>
      </c>
      <c r="G68" s="2" t="s">
        <v>75</v>
      </c>
      <c r="H68" s="12" t="n">
        <v>108</v>
      </c>
      <c r="I68" s="12" t="n">
        <v>14</v>
      </c>
      <c r="J68" s="12" t="n">
        <f aca="false">SUMIFS(Sessions!$I:$I,Sessions!$A:$A,$A68)</f>
        <v>0</v>
      </c>
      <c r="K68" s="12" t="n">
        <f aca="false">SUMIFS(Sessions!$I:$I,Sessions!$A:$A,$A68,Sessions!$B:$B,"ChatGPT")</f>
        <v>0</v>
      </c>
      <c r="L68" s="12" t="n">
        <f aca="false">SUMIFS(Sessions!$I:$I,Sessions!$A:$A,$A68,Sessions!$B:$B,"Claude")</f>
        <v>0</v>
      </c>
      <c r="M68" s="12" t="n">
        <f aca="false">SUMIFS(Sessions!$I:$I,Sessions!$A:$A,$A68,Sessions!$B:$B,"Gemini")</f>
        <v>0</v>
      </c>
      <c r="N68" s="12" t="n">
        <f aca="false">SUMIFS(Sessions!$I:$I,Sessions!$A:$A,$A68,Sessions!$B:$B,"Copilot")</f>
        <v>0</v>
      </c>
      <c r="O68" s="14" t="n">
        <f aca="false">IFERROR(J68/H68,"")</f>
        <v>0</v>
      </c>
      <c r="P68" s="15" t="n">
        <f aca="false">IFERROR(N68/H68,"")</f>
        <v>0</v>
      </c>
      <c r="Q68" s="2" t="s">
        <v>455</v>
      </c>
    </row>
    <row r="69" customFormat="false" ht="15" hidden="false" customHeight="false" outlineLevel="0" collapsed="false">
      <c r="A69" s="11" t="n">
        <v>46223</v>
      </c>
      <c r="B69" s="2" t="n">
        <v>2026</v>
      </c>
      <c r="C69" s="2" t="s">
        <v>462</v>
      </c>
      <c r="D69" s="2" t="n">
        <v>30</v>
      </c>
      <c r="E69" s="11" t="n">
        <v>46223</v>
      </c>
      <c r="F69" s="2" t="s">
        <v>458</v>
      </c>
      <c r="G69" s="2" t="s">
        <v>63</v>
      </c>
      <c r="H69" s="12" t="n">
        <v>161</v>
      </c>
      <c r="I69" s="12" t="n">
        <v>18</v>
      </c>
      <c r="J69" s="12" t="n">
        <f aca="false">SUMIFS(Sessions!$I:$I,Sessions!$A:$A,$A69)</f>
        <v>1</v>
      </c>
      <c r="K69" s="12" t="n">
        <f aca="false">SUMIFS(Sessions!$I:$I,Sessions!$A:$A,$A69,Sessions!$B:$B,"ChatGPT")</f>
        <v>1</v>
      </c>
      <c r="L69" s="12" t="n">
        <f aca="false">SUMIFS(Sessions!$I:$I,Sessions!$A:$A,$A69,Sessions!$B:$B,"Claude")</f>
        <v>0</v>
      </c>
      <c r="M69" s="12" t="n">
        <f aca="false">SUMIFS(Sessions!$I:$I,Sessions!$A:$A,$A69,Sessions!$B:$B,"Gemini")</f>
        <v>0</v>
      </c>
      <c r="N69" s="12" t="n">
        <f aca="false">SUMIFS(Sessions!$I:$I,Sessions!$A:$A,$A69,Sessions!$B:$B,"Copilot")</f>
        <v>0</v>
      </c>
      <c r="O69" s="14" t="n">
        <f aca="false">IFERROR(J69/H69,"")</f>
        <v>0.0062111801242236</v>
      </c>
      <c r="P69" s="15" t="n">
        <f aca="false">IFERROR(N69/H69,"")</f>
        <v>0</v>
      </c>
      <c r="Q69" s="2" t="s">
        <v>455</v>
      </c>
    </row>
    <row r="70" customFormat="false" ht="15" hidden="false" customHeight="false" outlineLevel="0" collapsed="false">
      <c r="A70" s="11" t="n">
        <v>46224</v>
      </c>
      <c r="B70" s="2" t="n">
        <v>2026</v>
      </c>
      <c r="C70" s="2" t="s">
        <v>462</v>
      </c>
      <c r="D70" s="2" t="n">
        <v>30</v>
      </c>
      <c r="E70" s="11" t="n">
        <v>46223</v>
      </c>
      <c r="F70" s="2" t="s">
        <v>459</v>
      </c>
      <c r="G70" s="2" t="s">
        <v>63</v>
      </c>
      <c r="H70" s="12" t="n">
        <v>160</v>
      </c>
      <c r="I70" s="12" t="n">
        <v>22</v>
      </c>
      <c r="J70" s="12" t="n">
        <f aca="false">SUMIFS(Sessions!$I:$I,Sessions!$A:$A,$A70)</f>
        <v>3</v>
      </c>
      <c r="K70" s="12" t="n">
        <f aca="false">SUMIFS(Sessions!$I:$I,Sessions!$A:$A,$A70,Sessions!$B:$B,"ChatGPT")</f>
        <v>2</v>
      </c>
      <c r="L70" s="12" t="n">
        <f aca="false">SUMIFS(Sessions!$I:$I,Sessions!$A:$A,$A70,Sessions!$B:$B,"Claude")</f>
        <v>1</v>
      </c>
      <c r="M70" s="12" t="n">
        <f aca="false">SUMIFS(Sessions!$I:$I,Sessions!$A:$A,$A70,Sessions!$B:$B,"Gemini")</f>
        <v>0</v>
      </c>
      <c r="N70" s="12" t="n">
        <f aca="false">SUMIFS(Sessions!$I:$I,Sessions!$A:$A,$A70,Sessions!$B:$B,"Copilot")</f>
        <v>0</v>
      </c>
      <c r="O70" s="14" t="n">
        <f aca="false">IFERROR(J70/H70,"")</f>
        <v>0.01875</v>
      </c>
      <c r="P70" s="15" t="n">
        <f aca="false">IFERROR(N70/H70,"")</f>
        <v>0</v>
      </c>
      <c r="Q70" s="2" t="s">
        <v>455</v>
      </c>
    </row>
    <row r="71" customFormat="false" ht="15" hidden="false" customHeight="false" outlineLevel="0" collapsed="false">
      <c r="A71" s="11" t="n">
        <v>46225</v>
      </c>
      <c r="B71" s="2" t="n">
        <v>2026</v>
      </c>
      <c r="C71" s="2" t="s">
        <v>462</v>
      </c>
      <c r="D71" s="2" t="n">
        <v>30</v>
      </c>
      <c r="E71" s="11" t="n">
        <v>46223</v>
      </c>
      <c r="F71" s="2" t="s">
        <v>460</v>
      </c>
      <c r="G71" s="2" t="s">
        <v>63</v>
      </c>
      <c r="H71" s="12" t="n">
        <v>78</v>
      </c>
      <c r="I71" s="12" t="n">
        <v>13</v>
      </c>
      <c r="J71" s="12" t="n">
        <f aca="false">SUMIFS(Sessions!$I:$I,Sessions!$A:$A,$A71)</f>
        <v>9</v>
      </c>
      <c r="K71" s="12" t="n">
        <f aca="false">SUMIFS(Sessions!$I:$I,Sessions!$A:$A,$A71,Sessions!$B:$B,"ChatGPT")</f>
        <v>8</v>
      </c>
      <c r="L71" s="12" t="n">
        <f aca="false">SUMIFS(Sessions!$I:$I,Sessions!$A:$A,$A71,Sessions!$B:$B,"Claude")</f>
        <v>1</v>
      </c>
      <c r="M71" s="12" t="n">
        <f aca="false">SUMIFS(Sessions!$I:$I,Sessions!$A:$A,$A71,Sessions!$B:$B,"Gemini")</f>
        <v>0</v>
      </c>
      <c r="N71" s="12" t="n">
        <f aca="false">SUMIFS(Sessions!$I:$I,Sessions!$A:$A,$A71,Sessions!$B:$B,"Copilot")</f>
        <v>0</v>
      </c>
      <c r="O71" s="14" t="n">
        <f aca="false">IFERROR(J71/H71,"")</f>
        <v>0.115384615384615</v>
      </c>
      <c r="P71" s="15" t="n">
        <f aca="false">IFERROR(N71/H71,"")</f>
        <v>0</v>
      </c>
      <c r="Q71" s="2" t="s">
        <v>455</v>
      </c>
    </row>
    <row r="72" customFormat="false" ht="15" hidden="false" customHeight="false" outlineLevel="0" collapsed="false">
      <c r="A72" s="11" t="n">
        <v>46226</v>
      </c>
      <c r="B72" s="2" t="n">
        <v>2026</v>
      </c>
      <c r="C72" s="2" t="s">
        <v>462</v>
      </c>
      <c r="D72" s="2" t="n">
        <v>30</v>
      </c>
      <c r="E72" s="11" t="n">
        <v>46223</v>
      </c>
      <c r="F72" s="2" t="s">
        <v>452</v>
      </c>
      <c r="G72" s="2" t="s">
        <v>63</v>
      </c>
      <c r="H72" s="12" t="n">
        <v>153</v>
      </c>
      <c r="I72" s="12" t="n">
        <v>17</v>
      </c>
      <c r="J72" s="12" t="n">
        <f aca="false">SUMIFS(Sessions!$I:$I,Sessions!$A:$A,$A72)</f>
        <v>4</v>
      </c>
      <c r="K72" s="12" t="n">
        <f aca="false">SUMIFS(Sessions!$I:$I,Sessions!$A:$A,$A72,Sessions!$B:$B,"ChatGPT")</f>
        <v>4</v>
      </c>
      <c r="L72" s="12" t="n">
        <f aca="false">SUMIFS(Sessions!$I:$I,Sessions!$A:$A,$A72,Sessions!$B:$B,"Claude")</f>
        <v>0</v>
      </c>
      <c r="M72" s="12" t="n">
        <f aca="false">SUMIFS(Sessions!$I:$I,Sessions!$A:$A,$A72,Sessions!$B:$B,"Gemini")</f>
        <v>0</v>
      </c>
      <c r="N72" s="12" t="n">
        <f aca="false">SUMIFS(Sessions!$I:$I,Sessions!$A:$A,$A72,Sessions!$B:$B,"Copilot")</f>
        <v>0</v>
      </c>
      <c r="O72" s="14" t="n">
        <f aca="false">IFERROR(J72/H72,"")</f>
        <v>0.0261437908496732</v>
      </c>
      <c r="P72" s="15" t="n">
        <f aca="false">IFERROR(N72/H72,"")</f>
        <v>0</v>
      </c>
      <c r="Q72" s="2" t="s">
        <v>455</v>
      </c>
    </row>
    <row r="73" customFormat="false" ht="15" hidden="false" customHeight="false" outlineLevel="0" collapsed="false">
      <c r="A73" s="11" t="n">
        <v>46227</v>
      </c>
      <c r="B73" s="2" t="n">
        <v>2026</v>
      </c>
      <c r="C73" s="2" t="s">
        <v>462</v>
      </c>
      <c r="D73" s="2" t="n">
        <v>30</v>
      </c>
      <c r="E73" s="11" t="n">
        <v>46223</v>
      </c>
      <c r="F73" s="2" t="s">
        <v>454</v>
      </c>
      <c r="G73" s="2" t="s">
        <v>63</v>
      </c>
      <c r="H73" s="12" t="n">
        <v>66</v>
      </c>
      <c r="I73" s="12" t="n">
        <v>10</v>
      </c>
      <c r="J73" s="12" t="n">
        <f aca="false">SUMIFS(Sessions!$I:$I,Sessions!$A:$A,$A73)</f>
        <v>4</v>
      </c>
      <c r="K73" s="12" t="n">
        <f aca="false">SUMIFS(Sessions!$I:$I,Sessions!$A:$A,$A73,Sessions!$B:$B,"ChatGPT")</f>
        <v>4</v>
      </c>
      <c r="L73" s="12" t="n">
        <f aca="false">SUMIFS(Sessions!$I:$I,Sessions!$A:$A,$A73,Sessions!$B:$B,"Claude")</f>
        <v>0</v>
      </c>
      <c r="M73" s="12" t="n">
        <f aca="false">SUMIFS(Sessions!$I:$I,Sessions!$A:$A,$A73,Sessions!$B:$B,"Gemini")</f>
        <v>0</v>
      </c>
      <c r="N73" s="12" t="n">
        <f aca="false">SUMIFS(Sessions!$I:$I,Sessions!$A:$A,$A73,Sessions!$B:$B,"Copilot")</f>
        <v>0</v>
      </c>
      <c r="O73" s="14" t="n">
        <f aca="false">IFERROR(J73/H73,"")</f>
        <v>0.0606060606060606</v>
      </c>
      <c r="P73" s="15" t="n">
        <f aca="false">IFERROR(N73/H73,"")</f>
        <v>0</v>
      </c>
      <c r="Q73" s="2" t="s">
        <v>455</v>
      </c>
    </row>
    <row r="74" customFormat="false" ht="15" hidden="false" customHeight="false" outlineLevel="0" collapsed="false">
      <c r="A74" s="11" t="n">
        <v>46228</v>
      </c>
      <c r="B74" s="2" t="n">
        <v>2026</v>
      </c>
      <c r="C74" s="2" t="s">
        <v>462</v>
      </c>
      <c r="D74" s="2" t="n">
        <v>30</v>
      </c>
      <c r="E74" s="11" t="n">
        <v>46223</v>
      </c>
      <c r="F74" s="2" t="s">
        <v>456</v>
      </c>
      <c r="G74" s="2" t="s">
        <v>75</v>
      </c>
      <c r="H74" s="12" t="n">
        <v>30</v>
      </c>
      <c r="I74" s="12" t="n">
        <v>6</v>
      </c>
      <c r="J74" s="12" t="n">
        <f aca="false">SUMIFS(Sessions!$I:$I,Sessions!$A:$A,$A74)</f>
        <v>0</v>
      </c>
      <c r="K74" s="12" t="n">
        <f aca="false">SUMIFS(Sessions!$I:$I,Sessions!$A:$A,$A74,Sessions!$B:$B,"ChatGPT")</f>
        <v>0</v>
      </c>
      <c r="L74" s="12" t="n">
        <f aca="false">SUMIFS(Sessions!$I:$I,Sessions!$A:$A,$A74,Sessions!$B:$B,"Claude")</f>
        <v>0</v>
      </c>
      <c r="M74" s="12" t="n">
        <f aca="false">SUMIFS(Sessions!$I:$I,Sessions!$A:$A,$A74,Sessions!$B:$B,"Gemini")</f>
        <v>0</v>
      </c>
      <c r="N74" s="12" t="n">
        <f aca="false">SUMIFS(Sessions!$I:$I,Sessions!$A:$A,$A74,Sessions!$B:$B,"Copilot")</f>
        <v>0</v>
      </c>
      <c r="O74" s="14" t="n">
        <f aca="false">IFERROR(J74/H74,"")</f>
        <v>0</v>
      </c>
      <c r="P74" s="15" t="n">
        <f aca="false">IFERROR(N74/H74,"")</f>
        <v>0</v>
      </c>
      <c r="Q74" s="2" t="s">
        <v>455</v>
      </c>
    </row>
    <row r="75" customFormat="false" ht="15" hidden="false" customHeight="false" outlineLevel="0" collapsed="false">
      <c r="A75" s="11" t="n">
        <v>46229</v>
      </c>
      <c r="B75" s="2" t="n">
        <v>2026</v>
      </c>
      <c r="C75" s="2" t="s">
        <v>462</v>
      </c>
      <c r="D75" s="2" t="n">
        <v>30</v>
      </c>
      <c r="E75" s="11" t="n">
        <v>46223</v>
      </c>
      <c r="F75" s="2" t="s">
        <v>457</v>
      </c>
      <c r="G75" s="2" t="s">
        <v>75</v>
      </c>
      <c r="H75" s="12" t="n">
        <v>89</v>
      </c>
      <c r="I75" s="12" t="n">
        <v>12</v>
      </c>
      <c r="J75" s="12" t="n">
        <f aca="false">SUMIFS(Sessions!$I:$I,Sessions!$A:$A,$A75)</f>
        <v>2</v>
      </c>
      <c r="K75" s="12" t="n">
        <f aca="false">SUMIFS(Sessions!$I:$I,Sessions!$A:$A,$A75,Sessions!$B:$B,"ChatGPT")</f>
        <v>2</v>
      </c>
      <c r="L75" s="12" t="n">
        <f aca="false">SUMIFS(Sessions!$I:$I,Sessions!$A:$A,$A75,Sessions!$B:$B,"Claude")</f>
        <v>0</v>
      </c>
      <c r="M75" s="12" t="n">
        <f aca="false">SUMIFS(Sessions!$I:$I,Sessions!$A:$A,$A75,Sessions!$B:$B,"Gemini")</f>
        <v>0</v>
      </c>
      <c r="N75" s="12" t="n">
        <f aca="false">SUMIFS(Sessions!$I:$I,Sessions!$A:$A,$A75,Sessions!$B:$B,"Copilot")</f>
        <v>0</v>
      </c>
      <c r="O75" s="14" t="n">
        <f aca="false">IFERROR(J75/H75,"")</f>
        <v>0.0224719101123596</v>
      </c>
      <c r="P75" s="15" t="n">
        <f aca="false">IFERROR(N75/H75,"")</f>
        <v>0</v>
      </c>
      <c r="Q75" s="2" t="s">
        <v>455</v>
      </c>
    </row>
    <row r="76" customFormat="false" ht="15" hidden="false" customHeight="false" outlineLevel="0" collapsed="false">
      <c r="A76" s="11" t="n">
        <v>46230</v>
      </c>
      <c r="B76" s="2" t="n">
        <v>2026</v>
      </c>
      <c r="C76" s="2" t="s">
        <v>462</v>
      </c>
      <c r="D76" s="2" t="n">
        <v>31</v>
      </c>
      <c r="E76" s="11" t="n">
        <v>46230</v>
      </c>
      <c r="F76" s="2" t="s">
        <v>458</v>
      </c>
      <c r="G76" s="2" t="s">
        <v>63</v>
      </c>
      <c r="H76" s="12" t="n">
        <v>111</v>
      </c>
      <c r="I76" s="12" t="n">
        <v>13</v>
      </c>
      <c r="J76" s="12" t="n">
        <f aca="false">SUMIFS(Sessions!$I:$I,Sessions!$A:$A,$A76)</f>
        <v>3</v>
      </c>
      <c r="K76" s="12" t="n">
        <f aca="false">SUMIFS(Sessions!$I:$I,Sessions!$A:$A,$A76,Sessions!$B:$B,"ChatGPT")</f>
        <v>3</v>
      </c>
      <c r="L76" s="12" t="n">
        <f aca="false">SUMIFS(Sessions!$I:$I,Sessions!$A:$A,$A76,Sessions!$B:$B,"Claude")</f>
        <v>0</v>
      </c>
      <c r="M76" s="12" t="n">
        <f aca="false">SUMIFS(Sessions!$I:$I,Sessions!$A:$A,$A76,Sessions!$B:$B,"Gemini")</f>
        <v>0</v>
      </c>
      <c r="N76" s="12" t="n">
        <f aca="false">SUMIFS(Sessions!$I:$I,Sessions!$A:$A,$A76,Sessions!$B:$B,"Copilot")</f>
        <v>0</v>
      </c>
      <c r="O76" s="14" t="n">
        <f aca="false">IFERROR(J76/H76,"")</f>
        <v>0.027027027027027</v>
      </c>
      <c r="P76" s="15" t="n">
        <f aca="false">IFERROR(N76/H76,"")</f>
        <v>0</v>
      </c>
      <c r="Q76" s="2" t="s">
        <v>455</v>
      </c>
    </row>
    <row r="77" customFormat="false" ht="15" hidden="false" customHeight="false" outlineLevel="0" collapsed="false">
      <c r="A77" s="11" t="n">
        <v>46231</v>
      </c>
      <c r="B77" s="2" t="n">
        <v>2026</v>
      </c>
      <c r="C77" s="2" t="s">
        <v>462</v>
      </c>
      <c r="D77" s="2" t="n">
        <v>31</v>
      </c>
      <c r="E77" s="11" t="n">
        <v>46230</v>
      </c>
      <c r="F77" s="2" t="s">
        <v>459</v>
      </c>
      <c r="G77" s="2" t="s">
        <v>63</v>
      </c>
      <c r="H77" s="12" t="n">
        <v>68</v>
      </c>
      <c r="I77" s="12" t="n">
        <v>11</v>
      </c>
      <c r="J77" s="12" t="n">
        <f aca="false">SUMIFS(Sessions!$I:$I,Sessions!$A:$A,$A77)</f>
        <v>3</v>
      </c>
      <c r="K77" s="12" t="n">
        <f aca="false">SUMIFS(Sessions!$I:$I,Sessions!$A:$A,$A77,Sessions!$B:$B,"ChatGPT")</f>
        <v>2</v>
      </c>
      <c r="L77" s="12" t="n">
        <f aca="false">SUMIFS(Sessions!$I:$I,Sessions!$A:$A,$A77,Sessions!$B:$B,"Claude")</f>
        <v>0</v>
      </c>
      <c r="M77" s="12" t="n">
        <f aca="false">SUMIFS(Sessions!$I:$I,Sessions!$A:$A,$A77,Sessions!$B:$B,"Gemini")</f>
        <v>1</v>
      </c>
      <c r="N77" s="12" t="n">
        <f aca="false">SUMIFS(Sessions!$I:$I,Sessions!$A:$A,$A77,Sessions!$B:$B,"Copilot")</f>
        <v>0</v>
      </c>
      <c r="O77" s="14" t="n">
        <f aca="false">IFERROR(J77/H77,"")</f>
        <v>0.0441176470588235</v>
      </c>
      <c r="P77" s="15" t="n">
        <f aca="false">IFERROR(N77/H77,"")</f>
        <v>0</v>
      </c>
      <c r="Q77" s="2" t="s">
        <v>455</v>
      </c>
    </row>
    <row r="78" customFormat="false" ht="15" hidden="false" customHeight="false" outlineLevel="0" collapsed="false">
      <c r="A78" s="11" t="n">
        <v>46232</v>
      </c>
      <c r="B78" s="2" t="n">
        <v>2026</v>
      </c>
      <c r="C78" s="2" t="s">
        <v>462</v>
      </c>
      <c r="D78" s="2" t="n">
        <v>31</v>
      </c>
      <c r="E78" s="11" t="n">
        <v>46230</v>
      </c>
      <c r="F78" s="2" t="s">
        <v>460</v>
      </c>
      <c r="G78" s="2" t="s">
        <v>63</v>
      </c>
      <c r="H78" s="12" t="n">
        <v>145</v>
      </c>
      <c r="I78" s="12" t="n">
        <v>12</v>
      </c>
      <c r="J78" s="12" t="n">
        <f aca="false">SUMIFS(Sessions!$I:$I,Sessions!$A:$A,$A78)</f>
        <v>5</v>
      </c>
      <c r="K78" s="12" t="n">
        <f aca="false">SUMIFS(Sessions!$I:$I,Sessions!$A:$A,$A78,Sessions!$B:$B,"ChatGPT")</f>
        <v>4</v>
      </c>
      <c r="L78" s="12" t="n">
        <f aca="false">SUMIFS(Sessions!$I:$I,Sessions!$A:$A,$A78,Sessions!$B:$B,"Claude")</f>
        <v>0</v>
      </c>
      <c r="M78" s="12" t="n">
        <f aca="false">SUMIFS(Sessions!$I:$I,Sessions!$A:$A,$A78,Sessions!$B:$B,"Gemini")</f>
        <v>1</v>
      </c>
      <c r="N78" s="12" t="n">
        <f aca="false">SUMIFS(Sessions!$I:$I,Sessions!$A:$A,$A78,Sessions!$B:$B,"Copilot")</f>
        <v>0</v>
      </c>
      <c r="O78" s="14" t="n">
        <f aca="false">IFERROR(J78/H78,"")</f>
        <v>0.0344827586206897</v>
      </c>
      <c r="P78" s="15" t="n">
        <f aca="false">IFERROR(N78/H78,"")</f>
        <v>0</v>
      </c>
      <c r="Q78" s="2" t="s">
        <v>455</v>
      </c>
    </row>
    <row r="79" customFormat="false" ht="15" hidden="false" customHeight="false" outlineLevel="0" collapsed="false">
      <c r="A79" s="11" t="n">
        <v>46233</v>
      </c>
      <c r="B79" s="2" t="n">
        <v>2026</v>
      </c>
      <c r="C79" s="2" t="s">
        <v>462</v>
      </c>
      <c r="D79" s="2" t="n">
        <v>31</v>
      </c>
      <c r="E79" s="11" t="n">
        <v>46230</v>
      </c>
      <c r="F79" s="2" t="s">
        <v>452</v>
      </c>
      <c r="G79" s="2" t="s">
        <v>63</v>
      </c>
      <c r="H79" s="12" t="n">
        <v>609</v>
      </c>
      <c r="I79" s="12" t="n">
        <v>17</v>
      </c>
      <c r="J79" s="12" t="n">
        <f aca="false">SUMIFS(Sessions!$I:$I,Sessions!$A:$A,$A79)</f>
        <v>6</v>
      </c>
      <c r="K79" s="12" t="n">
        <f aca="false">SUMIFS(Sessions!$I:$I,Sessions!$A:$A,$A79,Sessions!$B:$B,"ChatGPT")</f>
        <v>6</v>
      </c>
      <c r="L79" s="12" t="n">
        <f aca="false">SUMIFS(Sessions!$I:$I,Sessions!$A:$A,$A79,Sessions!$B:$B,"Claude")</f>
        <v>0</v>
      </c>
      <c r="M79" s="12" t="n">
        <f aca="false">SUMIFS(Sessions!$I:$I,Sessions!$A:$A,$A79,Sessions!$B:$B,"Gemini")</f>
        <v>0</v>
      </c>
      <c r="N79" s="12" t="n">
        <f aca="false">SUMIFS(Sessions!$I:$I,Sessions!$A:$A,$A79,Sessions!$B:$B,"Copilot")</f>
        <v>0</v>
      </c>
      <c r="O79" s="14" t="n">
        <f aca="false">IFERROR(J79/H79,"")</f>
        <v>0.00985221674876847</v>
      </c>
      <c r="P79" s="15" t="n">
        <f aca="false">IFERROR(N79/H79,"")</f>
        <v>0</v>
      </c>
      <c r="Q79" s="2" t="s">
        <v>455</v>
      </c>
    </row>
    <row r="80" customFormat="false" ht="15" hidden="false" customHeight="false" outlineLevel="0" collapsed="false">
      <c r="A80" s="11" t="n">
        <v>46234</v>
      </c>
      <c r="B80" s="2" t="n">
        <v>2026</v>
      </c>
      <c r="C80" s="2" t="s">
        <v>462</v>
      </c>
      <c r="D80" s="2" t="n">
        <v>31</v>
      </c>
      <c r="E80" s="11" t="n">
        <v>46230</v>
      </c>
      <c r="F80" s="2" t="s">
        <v>454</v>
      </c>
      <c r="G80" s="2" t="s">
        <v>63</v>
      </c>
      <c r="H80" s="12" t="n">
        <v>79</v>
      </c>
      <c r="I80" s="12" t="n">
        <v>9</v>
      </c>
      <c r="J80" s="12" t="n">
        <f aca="false">SUMIFS(Sessions!$I:$I,Sessions!$A:$A,$A80)</f>
        <v>2</v>
      </c>
      <c r="K80" s="12" t="n">
        <f aca="false">SUMIFS(Sessions!$I:$I,Sessions!$A:$A,$A80,Sessions!$B:$B,"ChatGPT")</f>
        <v>2</v>
      </c>
      <c r="L80" s="12" t="n">
        <f aca="false">SUMIFS(Sessions!$I:$I,Sessions!$A:$A,$A80,Sessions!$B:$B,"Claude")</f>
        <v>0</v>
      </c>
      <c r="M80" s="12" t="n">
        <f aca="false">SUMIFS(Sessions!$I:$I,Sessions!$A:$A,$A80,Sessions!$B:$B,"Gemini")</f>
        <v>0</v>
      </c>
      <c r="N80" s="12" t="n">
        <f aca="false">SUMIFS(Sessions!$I:$I,Sessions!$A:$A,$A80,Sessions!$B:$B,"Copilot")</f>
        <v>0</v>
      </c>
      <c r="O80" s="14" t="n">
        <f aca="false">IFERROR(J80/H80,"")</f>
        <v>0.0253164556962025</v>
      </c>
      <c r="P80" s="15" t="n">
        <f aca="false">IFERROR(N80/H80,"")</f>
        <v>0</v>
      </c>
      <c r="Q80" s="2" t="s">
        <v>455</v>
      </c>
    </row>
    <row r="81" customFormat="false" ht="15" hidden="false" customHeight="false" outlineLevel="0" collapsed="false">
      <c r="A81" s="11" t="n">
        <v>46235</v>
      </c>
      <c r="B81" s="2" t="n">
        <v>2026</v>
      </c>
      <c r="C81" s="2" t="s">
        <v>463</v>
      </c>
      <c r="D81" s="2" t="n">
        <v>31</v>
      </c>
      <c r="E81" s="11" t="n">
        <v>46230</v>
      </c>
      <c r="F81" s="2" t="s">
        <v>456</v>
      </c>
      <c r="G81" s="2" t="s">
        <v>75</v>
      </c>
      <c r="H81" s="12" t="n">
        <v>39</v>
      </c>
      <c r="I81" s="12" t="n">
        <v>6</v>
      </c>
      <c r="J81" s="12" t="n">
        <f aca="false">SUMIFS(Sessions!$I:$I,Sessions!$A:$A,$A81)</f>
        <v>1</v>
      </c>
      <c r="K81" s="12" t="n">
        <f aca="false">SUMIFS(Sessions!$I:$I,Sessions!$A:$A,$A81,Sessions!$B:$B,"ChatGPT")</f>
        <v>1</v>
      </c>
      <c r="L81" s="12" t="n">
        <f aca="false">SUMIFS(Sessions!$I:$I,Sessions!$A:$A,$A81,Sessions!$B:$B,"Claude")</f>
        <v>0</v>
      </c>
      <c r="M81" s="12" t="n">
        <f aca="false">SUMIFS(Sessions!$I:$I,Sessions!$A:$A,$A81,Sessions!$B:$B,"Gemini")</f>
        <v>0</v>
      </c>
      <c r="N81" s="12" t="n">
        <f aca="false">SUMIFS(Sessions!$I:$I,Sessions!$A:$A,$A81,Sessions!$B:$B,"Copilot")</f>
        <v>0</v>
      </c>
      <c r="O81" s="14" t="n">
        <f aca="false">IFERROR(J81/H81,"")</f>
        <v>0.0256410256410256</v>
      </c>
      <c r="P81" s="15" t="n">
        <f aca="false">IFERROR(N81/H81,"")</f>
        <v>0</v>
      </c>
      <c r="Q81" s="2" t="s">
        <v>455</v>
      </c>
    </row>
    <row r="82" customFormat="false" ht="15" hidden="false" customHeight="false" outlineLevel="0" collapsed="false">
      <c r="A82" s="11" t="n">
        <v>46236</v>
      </c>
      <c r="B82" s="2" t="n">
        <v>2026</v>
      </c>
      <c r="C82" s="2" t="s">
        <v>463</v>
      </c>
      <c r="D82" s="2" t="n">
        <v>31</v>
      </c>
      <c r="E82" s="11" t="n">
        <v>46230</v>
      </c>
      <c r="F82" s="2" t="s">
        <v>457</v>
      </c>
      <c r="G82" s="2" t="s">
        <v>75</v>
      </c>
      <c r="H82" s="12" t="n">
        <v>90</v>
      </c>
      <c r="I82" s="12" t="n">
        <v>14</v>
      </c>
      <c r="J82" s="12" t="n">
        <f aca="false">SUMIFS(Sessions!$I:$I,Sessions!$A:$A,$A82)</f>
        <v>1</v>
      </c>
      <c r="K82" s="12" t="n">
        <f aca="false">SUMIFS(Sessions!$I:$I,Sessions!$A:$A,$A82,Sessions!$B:$B,"ChatGPT")</f>
        <v>1</v>
      </c>
      <c r="L82" s="12" t="n">
        <f aca="false">SUMIFS(Sessions!$I:$I,Sessions!$A:$A,$A82,Sessions!$B:$B,"Claude")</f>
        <v>0</v>
      </c>
      <c r="M82" s="12" t="n">
        <f aca="false">SUMIFS(Sessions!$I:$I,Sessions!$A:$A,$A82,Sessions!$B:$B,"Gemini")</f>
        <v>0</v>
      </c>
      <c r="N82" s="12" t="n">
        <f aca="false">SUMIFS(Sessions!$I:$I,Sessions!$A:$A,$A82,Sessions!$B:$B,"Copilot")</f>
        <v>0</v>
      </c>
      <c r="O82" s="14" t="n">
        <f aca="false">IFERROR(J82/H82,"")</f>
        <v>0.0111111111111111</v>
      </c>
      <c r="P82" s="15" t="n">
        <f aca="false">IFERROR(N82/H82,"")</f>
        <v>0</v>
      </c>
      <c r="Q82" s="2" t="s">
        <v>455</v>
      </c>
    </row>
    <row r="83" customFormat="false" ht="15" hidden="false" customHeight="false" outlineLevel="0" collapsed="false">
      <c r="A83" s="11" t="n">
        <v>46237</v>
      </c>
      <c r="B83" s="2" t="n">
        <v>2026</v>
      </c>
      <c r="C83" s="2" t="s">
        <v>463</v>
      </c>
      <c r="D83" s="2" t="n">
        <v>32</v>
      </c>
      <c r="E83" s="11" t="n">
        <v>46237</v>
      </c>
      <c r="F83" s="2" t="s">
        <v>458</v>
      </c>
      <c r="G83" s="2" t="s">
        <v>63</v>
      </c>
      <c r="H83" s="12" t="n">
        <v>63</v>
      </c>
      <c r="I83" s="12" t="n">
        <v>14</v>
      </c>
      <c r="J83" s="12" t="n">
        <f aca="false">SUMIFS(Sessions!$I:$I,Sessions!$A:$A,$A83)</f>
        <v>3</v>
      </c>
      <c r="K83" s="12" t="n">
        <f aca="false">SUMIFS(Sessions!$I:$I,Sessions!$A:$A,$A83,Sessions!$B:$B,"ChatGPT")</f>
        <v>3</v>
      </c>
      <c r="L83" s="12" t="n">
        <f aca="false">SUMIFS(Sessions!$I:$I,Sessions!$A:$A,$A83,Sessions!$B:$B,"Claude")</f>
        <v>0</v>
      </c>
      <c r="M83" s="12" t="n">
        <f aca="false">SUMIFS(Sessions!$I:$I,Sessions!$A:$A,$A83,Sessions!$B:$B,"Gemini")</f>
        <v>0</v>
      </c>
      <c r="N83" s="12" t="n">
        <f aca="false">SUMIFS(Sessions!$I:$I,Sessions!$A:$A,$A83,Sessions!$B:$B,"Copilot")</f>
        <v>0</v>
      </c>
      <c r="O83" s="14" t="n">
        <f aca="false">IFERROR(J83/H83,"")</f>
        <v>0.0476190476190476</v>
      </c>
      <c r="P83" s="15" t="n">
        <f aca="false">IFERROR(N83/H83,"")</f>
        <v>0</v>
      </c>
      <c r="Q83" s="2" t="s">
        <v>455</v>
      </c>
    </row>
    <row r="84" customFormat="false" ht="15" hidden="false" customHeight="false" outlineLevel="0" collapsed="false">
      <c r="A84" s="11" t="n">
        <v>46238</v>
      </c>
      <c r="B84" s="2" t="n">
        <v>2026</v>
      </c>
      <c r="C84" s="2" t="s">
        <v>463</v>
      </c>
      <c r="D84" s="2" t="n">
        <v>32</v>
      </c>
      <c r="E84" s="11" t="n">
        <v>46237</v>
      </c>
      <c r="F84" s="2" t="s">
        <v>459</v>
      </c>
      <c r="G84" s="2" t="s">
        <v>63</v>
      </c>
      <c r="H84" s="12" t="n">
        <v>153</v>
      </c>
      <c r="I84" s="12" t="n">
        <v>18</v>
      </c>
      <c r="J84" s="12" t="n">
        <f aca="false">SUMIFS(Sessions!$I:$I,Sessions!$A:$A,$A84)</f>
        <v>4</v>
      </c>
      <c r="K84" s="12" t="n">
        <f aca="false">SUMIFS(Sessions!$I:$I,Sessions!$A:$A,$A84,Sessions!$B:$B,"ChatGPT")</f>
        <v>3</v>
      </c>
      <c r="L84" s="12" t="n">
        <f aca="false">SUMIFS(Sessions!$I:$I,Sessions!$A:$A,$A84,Sessions!$B:$B,"Claude")</f>
        <v>1</v>
      </c>
      <c r="M84" s="12" t="n">
        <f aca="false">SUMIFS(Sessions!$I:$I,Sessions!$A:$A,$A84,Sessions!$B:$B,"Gemini")</f>
        <v>0</v>
      </c>
      <c r="N84" s="12" t="n">
        <f aca="false">SUMIFS(Sessions!$I:$I,Sessions!$A:$A,$A84,Sessions!$B:$B,"Copilot")</f>
        <v>0</v>
      </c>
      <c r="O84" s="14" t="n">
        <f aca="false">IFERROR(J84/H84,"")</f>
        <v>0.0261437908496732</v>
      </c>
      <c r="P84" s="15" t="n">
        <f aca="false">IFERROR(N84/H84,"")</f>
        <v>0</v>
      </c>
      <c r="Q84" s="2" t="s">
        <v>455</v>
      </c>
    </row>
    <row r="85" customFormat="false" ht="15" hidden="false" customHeight="false" outlineLevel="0" collapsed="false">
      <c r="A85" s="11" t="n">
        <v>46239</v>
      </c>
      <c r="B85" s="2" t="n">
        <v>2026</v>
      </c>
      <c r="C85" s="2" t="s">
        <v>463</v>
      </c>
      <c r="D85" s="2" t="n">
        <v>32</v>
      </c>
      <c r="E85" s="11" t="n">
        <v>46237</v>
      </c>
      <c r="F85" s="2" t="s">
        <v>460</v>
      </c>
      <c r="G85" s="2" t="s">
        <v>63</v>
      </c>
      <c r="H85" s="12" t="n">
        <v>128</v>
      </c>
      <c r="I85" s="12" t="n">
        <v>13</v>
      </c>
      <c r="J85" s="12" t="n">
        <f aca="false">SUMIFS(Sessions!$I:$I,Sessions!$A:$A,$A85)</f>
        <v>3</v>
      </c>
      <c r="K85" s="12" t="n">
        <f aca="false">SUMIFS(Sessions!$I:$I,Sessions!$A:$A,$A85,Sessions!$B:$B,"ChatGPT")</f>
        <v>3</v>
      </c>
      <c r="L85" s="12" t="n">
        <f aca="false">SUMIFS(Sessions!$I:$I,Sessions!$A:$A,$A85,Sessions!$B:$B,"Claude")</f>
        <v>0</v>
      </c>
      <c r="M85" s="12" t="n">
        <f aca="false">SUMIFS(Sessions!$I:$I,Sessions!$A:$A,$A85,Sessions!$B:$B,"Gemini")</f>
        <v>0</v>
      </c>
      <c r="N85" s="12" t="n">
        <f aca="false">SUMIFS(Sessions!$I:$I,Sessions!$A:$A,$A85,Sessions!$B:$B,"Copilot")</f>
        <v>0</v>
      </c>
      <c r="O85" s="14" t="n">
        <f aca="false">IFERROR(J85/H85,"")</f>
        <v>0.0234375</v>
      </c>
      <c r="P85" s="15" t="n">
        <f aca="false">IFERROR(N85/H85,"")</f>
        <v>0</v>
      </c>
      <c r="Q85" s="2" t="s">
        <v>455</v>
      </c>
    </row>
    <row r="86" customFormat="false" ht="15" hidden="false" customHeight="false" outlineLevel="0" collapsed="false">
      <c r="A86" s="11" t="n">
        <v>46240</v>
      </c>
      <c r="B86" s="2" t="n">
        <v>2026</v>
      </c>
      <c r="C86" s="2" t="s">
        <v>463</v>
      </c>
      <c r="D86" s="2" t="n">
        <v>32</v>
      </c>
      <c r="E86" s="11" t="n">
        <v>46237</v>
      </c>
      <c r="F86" s="2" t="s">
        <v>452</v>
      </c>
      <c r="G86" s="2" t="s">
        <v>63</v>
      </c>
      <c r="H86" s="12" t="n">
        <v>78</v>
      </c>
      <c r="I86" s="12" t="n">
        <v>8</v>
      </c>
      <c r="J86" s="12" t="n">
        <f aca="false">SUMIFS(Sessions!$I:$I,Sessions!$A:$A,$A86)</f>
        <v>1</v>
      </c>
      <c r="K86" s="12" t="n">
        <f aca="false">SUMIFS(Sessions!$I:$I,Sessions!$A:$A,$A86,Sessions!$B:$B,"ChatGPT")</f>
        <v>1</v>
      </c>
      <c r="L86" s="12" t="n">
        <f aca="false">SUMIFS(Sessions!$I:$I,Sessions!$A:$A,$A86,Sessions!$B:$B,"Claude")</f>
        <v>0</v>
      </c>
      <c r="M86" s="12" t="n">
        <f aca="false">SUMIFS(Sessions!$I:$I,Sessions!$A:$A,$A86,Sessions!$B:$B,"Gemini")</f>
        <v>0</v>
      </c>
      <c r="N86" s="12" t="n">
        <f aca="false">SUMIFS(Sessions!$I:$I,Sessions!$A:$A,$A86,Sessions!$B:$B,"Copilot")</f>
        <v>0</v>
      </c>
      <c r="O86" s="14" t="n">
        <f aca="false">IFERROR(J86/H86,"")</f>
        <v>0.0128205128205128</v>
      </c>
      <c r="P86" s="15" t="n">
        <f aca="false">IFERROR(N86/H86,"")</f>
        <v>0</v>
      </c>
      <c r="Q86" s="2" t="s">
        <v>455</v>
      </c>
    </row>
    <row r="87" customFormat="false" ht="15" hidden="false" customHeight="false" outlineLevel="0" collapsed="false">
      <c r="A87" s="11" t="n">
        <v>46241</v>
      </c>
      <c r="B87" s="2" t="n">
        <v>2026</v>
      </c>
      <c r="C87" s="2" t="s">
        <v>463</v>
      </c>
      <c r="D87" s="2" t="n">
        <v>32</v>
      </c>
      <c r="E87" s="11" t="n">
        <v>46237</v>
      </c>
      <c r="F87" s="2" t="s">
        <v>454</v>
      </c>
      <c r="G87" s="2" t="s">
        <v>63</v>
      </c>
      <c r="H87" s="12" t="n">
        <v>89</v>
      </c>
      <c r="I87" s="12" t="n">
        <v>22</v>
      </c>
      <c r="J87" s="12" t="n">
        <f aca="false">SUMIFS(Sessions!$I:$I,Sessions!$A:$A,$A87)</f>
        <v>2</v>
      </c>
      <c r="K87" s="12" t="n">
        <f aca="false">SUMIFS(Sessions!$I:$I,Sessions!$A:$A,$A87,Sessions!$B:$B,"ChatGPT")</f>
        <v>2</v>
      </c>
      <c r="L87" s="12" t="n">
        <f aca="false">SUMIFS(Sessions!$I:$I,Sessions!$A:$A,$A87,Sessions!$B:$B,"Claude")</f>
        <v>0</v>
      </c>
      <c r="M87" s="12" t="n">
        <f aca="false">SUMIFS(Sessions!$I:$I,Sessions!$A:$A,$A87,Sessions!$B:$B,"Gemini")</f>
        <v>0</v>
      </c>
      <c r="N87" s="12" t="n">
        <f aca="false">SUMIFS(Sessions!$I:$I,Sessions!$A:$A,$A87,Sessions!$B:$B,"Copilot")</f>
        <v>0</v>
      </c>
      <c r="O87" s="14" t="n">
        <f aca="false">IFERROR(J87/H87,"")</f>
        <v>0.0224719101123596</v>
      </c>
      <c r="P87" s="15" t="n">
        <f aca="false">IFERROR(N87/H87,"")</f>
        <v>0</v>
      </c>
      <c r="Q87" s="2" t="s">
        <v>455</v>
      </c>
    </row>
    <row r="88" customFormat="false" ht="15" hidden="false" customHeight="false" outlineLevel="0" collapsed="false">
      <c r="A88" s="11" t="n">
        <v>46242</v>
      </c>
      <c r="B88" s="2" t="n">
        <v>2026</v>
      </c>
      <c r="C88" s="2" t="s">
        <v>463</v>
      </c>
      <c r="D88" s="2" t="n">
        <v>32</v>
      </c>
      <c r="E88" s="11" t="n">
        <v>46237</v>
      </c>
      <c r="F88" s="2" t="s">
        <v>456</v>
      </c>
      <c r="G88" s="2" t="s">
        <v>75</v>
      </c>
      <c r="H88" s="12" t="n">
        <v>63</v>
      </c>
      <c r="I88" s="12" t="n">
        <v>19</v>
      </c>
      <c r="J88" s="12" t="n">
        <f aca="false">SUMIFS(Sessions!$I:$I,Sessions!$A:$A,$A88)</f>
        <v>5</v>
      </c>
      <c r="K88" s="12" t="n">
        <f aca="false">SUMIFS(Sessions!$I:$I,Sessions!$A:$A,$A88,Sessions!$B:$B,"ChatGPT")</f>
        <v>5</v>
      </c>
      <c r="L88" s="12" t="n">
        <f aca="false">SUMIFS(Sessions!$I:$I,Sessions!$A:$A,$A88,Sessions!$B:$B,"Claude")</f>
        <v>0</v>
      </c>
      <c r="M88" s="12" t="n">
        <f aca="false">SUMIFS(Sessions!$I:$I,Sessions!$A:$A,$A88,Sessions!$B:$B,"Gemini")</f>
        <v>0</v>
      </c>
      <c r="N88" s="12" t="n">
        <f aca="false">SUMIFS(Sessions!$I:$I,Sessions!$A:$A,$A88,Sessions!$B:$B,"Copilot")</f>
        <v>0</v>
      </c>
      <c r="O88" s="14" t="n">
        <f aca="false">IFERROR(J88/H88,"")</f>
        <v>0.0793650793650794</v>
      </c>
      <c r="P88" s="15" t="n">
        <f aca="false">IFERROR(N88/H88,"")</f>
        <v>0</v>
      </c>
      <c r="Q88" s="2" t="s">
        <v>455</v>
      </c>
    </row>
    <row r="89" customFormat="false" ht="15" hidden="false" customHeight="false" outlineLevel="0" collapsed="false">
      <c r="A89" s="11" t="n">
        <v>46243</v>
      </c>
      <c r="B89" s="2" t="n">
        <v>2026</v>
      </c>
      <c r="C89" s="2" t="s">
        <v>463</v>
      </c>
      <c r="D89" s="2" t="n">
        <v>32</v>
      </c>
      <c r="E89" s="11" t="n">
        <v>46237</v>
      </c>
      <c r="F89" s="2" t="s">
        <v>457</v>
      </c>
      <c r="G89" s="2" t="s">
        <v>75</v>
      </c>
      <c r="H89" s="12" t="n">
        <v>128</v>
      </c>
      <c r="I89" s="12" t="n">
        <v>21</v>
      </c>
      <c r="J89" s="12" t="n">
        <f aca="false">SUMIFS(Sessions!$I:$I,Sessions!$A:$A,$A89)</f>
        <v>3</v>
      </c>
      <c r="K89" s="12" t="n">
        <f aca="false">SUMIFS(Sessions!$I:$I,Sessions!$A:$A,$A89,Sessions!$B:$B,"ChatGPT")</f>
        <v>2</v>
      </c>
      <c r="L89" s="12" t="n">
        <f aca="false">SUMIFS(Sessions!$I:$I,Sessions!$A:$A,$A89,Sessions!$B:$B,"Claude")</f>
        <v>1</v>
      </c>
      <c r="M89" s="12" t="n">
        <f aca="false">SUMIFS(Sessions!$I:$I,Sessions!$A:$A,$A89,Sessions!$B:$B,"Gemini")</f>
        <v>0</v>
      </c>
      <c r="N89" s="12" t="n">
        <f aca="false">SUMIFS(Sessions!$I:$I,Sessions!$A:$A,$A89,Sessions!$B:$B,"Copilot")</f>
        <v>0</v>
      </c>
      <c r="O89" s="14" t="n">
        <f aca="false">IFERROR(J89/H89,"")</f>
        <v>0.0234375</v>
      </c>
      <c r="P89" s="15" t="n">
        <f aca="false">IFERROR(N89/H89,"")</f>
        <v>0</v>
      </c>
      <c r="Q89" s="2" t="s">
        <v>455</v>
      </c>
    </row>
    <row r="90" customFormat="false" ht="15" hidden="false" customHeight="false" outlineLevel="0" collapsed="false">
      <c r="A90" s="11" t="n">
        <v>46244</v>
      </c>
      <c r="B90" s="2" t="n">
        <v>2026</v>
      </c>
      <c r="C90" s="2" t="s">
        <v>463</v>
      </c>
      <c r="D90" s="2" t="n">
        <v>33</v>
      </c>
      <c r="E90" s="11" t="n">
        <v>46244</v>
      </c>
      <c r="F90" s="2" t="s">
        <v>458</v>
      </c>
      <c r="G90" s="2" t="s">
        <v>63</v>
      </c>
      <c r="H90" s="12" t="n">
        <v>119</v>
      </c>
      <c r="I90" s="12" t="n">
        <v>20</v>
      </c>
      <c r="J90" s="12" t="n">
        <f aca="false">SUMIFS(Sessions!$I:$I,Sessions!$A:$A,$A90)</f>
        <v>14</v>
      </c>
      <c r="K90" s="12" t="n">
        <f aca="false">SUMIFS(Sessions!$I:$I,Sessions!$A:$A,$A90,Sessions!$B:$B,"ChatGPT")</f>
        <v>12</v>
      </c>
      <c r="L90" s="12" t="n">
        <f aca="false">SUMIFS(Sessions!$I:$I,Sessions!$A:$A,$A90,Sessions!$B:$B,"Claude")</f>
        <v>0</v>
      </c>
      <c r="M90" s="12" t="n">
        <f aca="false">SUMIFS(Sessions!$I:$I,Sessions!$A:$A,$A90,Sessions!$B:$B,"Gemini")</f>
        <v>2</v>
      </c>
      <c r="N90" s="12" t="n">
        <f aca="false">SUMIFS(Sessions!$I:$I,Sessions!$A:$A,$A90,Sessions!$B:$B,"Copilot")</f>
        <v>0</v>
      </c>
      <c r="O90" s="14" t="n">
        <f aca="false">IFERROR(J90/H90,"")</f>
        <v>0.117647058823529</v>
      </c>
      <c r="P90" s="15" t="n">
        <f aca="false">IFERROR(N90/H90,"")</f>
        <v>0</v>
      </c>
      <c r="Q90" s="2" t="s">
        <v>455</v>
      </c>
    </row>
    <row r="91" customFormat="false" ht="15" hidden="false" customHeight="false" outlineLevel="0" collapsed="false">
      <c r="A91" s="11" t="n">
        <v>46245</v>
      </c>
      <c r="B91" s="2" t="n">
        <v>2026</v>
      </c>
      <c r="C91" s="2" t="s">
        <v>463</v>
      </c>
      <c r="D91" s="2" t="n">
        <v>33</v>
      </c>
      <c r="E91" s="11" t="n">
        <v>46244</v>
      </c>
      <c r="F91" s="2" t="s">
        <v>459</v>
      </c>
      <c r="G91" s="2" t="s">
        <v>63</v>
      </c>
      <c r="H91" s="12" t="n">
        <v>110</v>
      </c>
      <c r="I91" s="12" t="n">
        <v>24</v>
      </c>
      <c r="J91" s="12" t="n">
        <f aca="false">SUMIFS(Sessions!$I:$I,Sessions!$A:$A,$A91)</f>
        <v>11</v>
      </c>
      <c r="K91" s="12" t="n">
        <f aca="false">SUMIFS(Sessions!$I:$I,Sessions!$A:$A,$A91,Sessions!$B:$B,"ChatGPT")</f>
        <v>11</v>
      </c>
      <c r="L91" s="12" t="n">
        <f aca="false">SUMIFS(Sessions!$I:$I,Sessions!$A:$A,$A91,Sessions!$B:$B,"Claude")</f>
        <v>0</v>
      </c>
      <c r="M91" s="12" t="n">
        <f aca="false">SUMIFS(Sessions!$I:$I,Sessions!$A:$A,$A91,Sessions!$B:$B,"Gemini")</f>
        <v>0</v>
      </c>
      <c r="N91" s="12" t="n">
        <f aca="false">SUMIFS(Sessions!$I:$I,Sessions!$A:$A,$A91,Sessions!$B:$B,"Copilot")</f>
        <v>0</v>
      </c>
      <c r="O91" s="14" t="n">
        <f aca="false">IFERROR(J91/H91,"")</f>
        <v>0.1</v>
      </c>
      <c r="P91" s="15" t="n">
        <f aca="false">IFERROR(N91/H91,"")</f>
        <v>0</v>
      </c>
      <c r="Q91" s="2" t="s">
        <v>455</v>
      </c>
    </row>
    <row r="92" customFormat="false" ht="15" hidden="false" customHeight="false" outlineLevel="0" collapsed="false">
      <c r="A92" s="11" t="n">
        <v>46246</v>
      </c>
      <c r="B92" s="2" t="n">
        <v>2026</v>
      </c>
      <c r="C92" s="2" t="s">
        <v>463</v>
      </c>
      <c r="D92" s="2" t="n">
        <v>33</v>
      </c>
      <c r="E92" s="11" t="n">
        <v>46244</v>
      </c>
      <c r="F92" s="2" t="s">
        <v>460</v>
      </c>
      <c r="G92" s="2" t="s">
        <v>63</v>
      </c>
      <c r="H92" s="12" t="n">
        <v>105</v>
      </c>
      <c r="I92" s="12" t="n">
        <v>17</v>
      </c>
      <c r="J92" s="12" t="n">
        <f aca="false">SUMIFS(Sessions!$I:$I,Sessions!$A:$A,$A92)</f>
        <v>8</v>
      </c>
      <c r="K92" s="12" t="n">
        <f aca="false">SUMIFS(Sessions!$I:$I,Sessions!$A:$A,$A92,Sessions!$B:$B,"ChatGPT")</f>
        <v>8</v>
      </c>
      <c r="L92" s="12" t="n">
        <f aca="false">SUMIFS(Sessions!$I:$I,Sessions!$A:$A,$A92,Sessions!$B:$B,"Claude")</f>
        <v>0</v>
      </c>
      <c r="M92" s="12" t="n">
        <f aca="false">SUMIFS(Sessions!$I:$I,Sessions!$A:$A,$A92,Sessions!$B:$B,"Gemini")</f>
        <v>0</v>
      </c>
      <c r="N92" s="12" t="n">
        <f aca="false">SUMIFS(Sessions!$I:$I,Sessions!$A:$A,$A92,Sessions!$B:$B,"Copilot")</f>
        <v>0</v>
      </c>
      <c r="O92" s="14" t="n">
        <f aca="false">IFERROR(J92/H92,"")</f>
        <v>0.0761904761904762</v>
      </c>
      <c r="P92" s="15" t="n">
        <f aca="false">IFERROR(N92/H92,"")</f>
        <v>0</v>
      </c>
      <c r="Q92" s="2" t="s">
        <v>455</v>
      </c>
    </row>
    <row r="93" customFormat="false" ht="15" hidden="false" customHeight="false" outlineLevel="0" collapsed="false">
      <c r="A93" s="11" t="n">
        <v>46247</v>
      </c>
      <c r="B93" s="2" t="n">
        <v>2026</v>
      </c>
      <c r="C93" s="2" t="s">
        <v>463</v>
      </c>
      <c r="D93" s="2" t="n">
        <v>33</v>
      </c>
      <c r="E93" s="11" t="n">
        <v>46244</v>
      </c>
      <c r="F93" s="2" t="s">
        <v>452</v>
      </c>
      <c r="G93" s="2" t="s">
        <v>63</v>
      </c>
      <c r="H93" s="12" t="n">
        <v>109</v>
      </c>
      <c r="I93" s="12" t="n">
        <v>14</v>
      </c>
      <c r="J93" s="12" t="n">
        <f aca="false">SUMIFS(Sessions!$I:$I,Sessions!$A:$A,$A93)</f>
        <v>12</v>
      </c>
      <c r="K93" s="12" t="n">
        <f aca="false">SUMIFS(Sessions!$I:$I,Sessions!$A:$A,$A93,Sessions!$B:$B,"ChatGPT")</f>
        <v>12</v>
      </c>
      <c r="L93" s="12" t="n">
        <f aca="false">SUMIFS(Sessions!$I:$I,Sessions!$A:$A,$A93,Sessions!$B:$B,"Claude")</f>
        <v>0</v>
      </c>
      <c r="M93" s="12" t="n">
        <f aca="false">SUMIFS(Sessions!$I:$I,Sessions!$A:$A,$A93,Sessions!$B:$B,"Gemini")</f>
        <v>0</v>
      </c>
      <c r="N93" s="12" t="n">
        <f aca="false">SUMIFS(Sessions!$I:$I,Sessions!$A:$A,$A93,Sessions!$B:$B,"Copilot")</f>
        <v>0</v>
      </c>
      <c r="O93" s="14" t="n">
        <f aca="false">IFERROR(J93/H93,"")</f>
        <v>0.110091743119266</v>
      </c>
      <c r="P93" s="15" t="n">
        <f aca="false">IFERROR(N93/H93,"")</f>
        <v>0</v>
      </c>
      <c r="Q93" s="2" t="s">
        <v>455</v>
      </c>
    </row>
    <row r="94" customFormat="false" ht="15" hidden="false" customHeight="false" outlineLevel="0" collapsed="false">
      <c r="A94" s="11" t="n">
        <v>46248</v>
      </c>
      <c r="B94" s="2" t="n">
        <v>2026</v>
      </c>
      <c r="C94" s="2" t="s">
        <v>463</v>
      </c>
      <c r="D94" s="2" t="n">
        <v>33</v>
      </c>
      <c r="E94" s="11" t="n">
        <v>46244</v>
      </c>
      <c r="F94" s="2" t="s">
        <v>454</v>
      </c>
      <c r="G94" s="2" t="s">
        <v>63</v>
      </c>
      <c r="H94" s="12" t="n">
        <v>65</v>
      </c>
      <c r="I94" s="12" t="n">
        <v>11</v>
      </c>
      <c r="J94" s="12" t="n">
        <f aca="false">SUMIFS(Sessions!$I:$I,Sessions!$A:$A,$A94)</f>
        <v>16</v>
      </c>
      <c r="K94" s="12" t="n">
        <f aca="false">SUMIFS(Sessions!$I:$I,Sessions!$A:$A,$A94,Sessions!$B:$B,"ChatGPT")</f>
        <v>16</v>
      </c>
      <c r="L94" s="12" t="n">
        <f aca="false">SUMIFS(Sessions!$I:$I,Sessions!$A:$A,$A94,Sessions!$B:$B,"Claude")</f>
        <v>0</v>
      </c>
      <c r="M94" s="12" t="n">
        <f aca="false">SUMIFS(Sessions!$I:$I,Sessions!$A:$A,$A94,Sessions!$B:$B,"Gemini")</f>
        <v>0</v>
      </c>
      <c r="N94" s="12" t="n">
        <f aca="false">SUMIFS(Sessions!$I:$I,Sessions!$A:$A,$A94,Sessions!$B:$B,"Copilot")</f>
        <v>0</v>
      </c>
      <c r="O94" s="14" t="n">
        <f aca="false">IFERROR(J94/H94,"")</f>
        <v>0.246153846153846</v>
      </c>
      <c r="P94" s="15" t="n">
        <f aca="false">IFERROR(N94/H94,"")</f>
        <v>0</v>
      </c>
      <c r="Q94" s="2" t="s">
        <v>455</v>
      </c>
    </row>
    <row r="95" customFormat="false" ht="15" hidden="false" customHeight="false" outlineLevel="0" collapsed="false">
      <c r="A95" s="11" t="n">
        <v>46249</v>
      </c>
      <c r="B95" s="2" t="n">
        <v>2026</v>
      </c>
      <c r="C95" s="2" t="s">
        <v>463</v>
      </c>
      <c r="D95" s="2" t="n">
        <v>33</v>
      </c>
      <c r="E95" s="11" t="n">
        <v>46244</v>
      </c>
      <c r="F95" s="2" t="s">
        <v>456</v>
      </c>
      <c r="G95" s="2" t="s">
        <v>75</v>
      </c>
      <c r="H95" s="12" t="n">
        <v>27</v>
      </c>
      <c r="I95" s="12" t="n">
        <v>4</v>
      </c>
      <c r="J95" s="12" t="n">
        <f aca="false">SUMIFS(Sessions!$I:$I,Sessions!$A:$A,$A95)</f>
        <v>0</v>
      </c>
      <c r="K95" s="12" t="n">
        <f aca="false">SUMIFS(Sessions!$I:$I,Sessions!$A:$A,$A95,Sessions!$B:$B,"ChatGPT")</f>
        <v>0</v>
      </c>
      <c r="L95" s="12" t="n">
        <f aca="false">SUMIFS(Sessions!$I:$I,Sessions!$A:$A,$A95,Sessions!$B:$B,"Claude")</f>
        <v>0</v>
      </c>
      <c r="M95" s="12" t="n">
        <f aca="false">SUMIFS(Sessions!$I:$I,Sessions!$A:$A,$A95,Sessions!$B:$B,"Gemini")</f>
        <v>0</v>
      </c>
      <c r="N95" s="12" t="n">
        <f aca="false">SUMIFS(Sessions!$I:$I,Sessions!$A:$A,$A95,Sessions!$B:$B,"Copilot")</f>
        <v>0</v>
      </c>
      <c r="O95" s="14" t="n">
        <f aca="false">IFERROR(J95/H95,"")</f>
        <v>0</v>
      </c>
      <c r="P95" s="15" t="n">
        <f aca="false">IFERROR(N95/H95,"")</f>
        <v>0</v>
      </c>
      <c r="Q95" s="2" t="s">
        <v>455</v>
      </c>
    </row>
    <row r="96" customFormat="false" ht="15" hidden="false" customHeight="false" outlineLevel="0" collapsed="false">
      <c r="A96" s="11" t="n">
        <v>46250</v>
      </c>
      <c r="B96" s="2" t="n">
        <v>2026</v>
      </c>
      <c r="C96" s="2" t="s">
        <v>463</v>
      </c>
      <c r="D96" s="2" t="n">
        <v>33</v>
      </c>
      <c r="E96" s="11" t="n">
        <v>46244</v>
      </c>
      <c r="F96" s="2" t="s">
        <v>457</v>
      </c>
      <c r="G96" s="2" t="s">
        <v>75</v>
      </c>
      <c r="H96" s="12" t="n">
        <v>114</v>
      </c>
      <c r="I96" s="12" t="n">
        <v>12</v>
      </c>
      <c r="J96" s="12" t="n">
        <f aca="false">SUMIFS(Sessions!$I:$I,Sessions!$A:$A,$A96)</f>
        <v>9</v>
      </c>
      <c r="K96" s="12" t="n">
        <f aca="false">SUMIFS(Sessions!$I:$I,Sessions!$A:$A,$A96,Sessions!$B:$B,"ChatGPT")</f>
        <v>9</v>
      </c>
      <c r="L96" s="12" t="n">
        <f aca="false">SUMIFS(Sessions!$I:$I,Sessions!$A:$A,$A96,Sessions!$B:$B,"Claude")</f>
        <v>0</v>
      </c>
      <c r="M96" s="12" t="n">
        <f aca="false">SUMIFS(Sessions!$I:$I,Sessions!$A:$A,$A96,Sessions!$B:$B,"Gemini")</f>
        <v>0</v>
      </c>
      <c r="N96" s="12" t="n">
        <f aca="false">SUMIFS(Sessions!$I:$I,Sessions!$A:$A,$A96,Sessions!$B:$B,"Copilot")</f>
        <v>0</v>
      </c>
      <c r="O96" s="14" t="n">
        <f aca="false">IFERROR(J96/H96,"")</f>
        <v>0.0789473684210526</v>
      </c>
      <c r="P96" s="15" t="n">
        <f aca="false">IFERROR(N96/H96,"")</f>
        <v>0</v>
      </c>
      <c r="Q96" s="2" t="s">
        <v>455</v>
      </c>
    </row>
    <row r="97" customFormat="false" ht="15" hidden="false" customHeight="false" outlineLevel="0" collapsed="false">
      <c r="A97" s="11" t="n">
        <v>46251</v>
      </c>
      <c r="B97" s="2" t="n">
        <v>2026</v>
      </c>
      <c r="C97" s="2" t="s">
        <v>463</v>
      </c>
      <c r="D97" s="2" t="n">
        <v>34</v>
      </c>
      <c r="E97" s="11" t="n">
        <v>46251</v>
      </c>
      <c r="F97" s="2" t="s">
        <v>458</v>
      </c>
      <c r="G97" s="2" t="s">
        <v>63</v>
      </c>
      <c r="H97" s="12" t="n">
        <v>89</v>
      </c>
      <c r="I97" s="12" t="n">
        <v>16</v>
      </c>
      <c r="J97" s="12" t="n">
        <f aca="false">SUMIFS(Sessions!$I:$I,Sessions!$A:$A,$A97)</f>
        <v>4</v>
      </c>
      <c r="K97" s="12" t="n">
        <f aca="false">SUMIFS(Sessions!$I:$I,Sessions!$A:$A,$A97,Sessions!$B:$B,"ChatGPT")</f>
        <v>4</v>
      </c>
      <c r="L97" s="12" t="n">
        <f aca="false">SUMIFS(Sessions!$I:$I,Sessions!$A:$A,$A97,Sessions!$B:$B,"Claude")</f>
        <v>0</v>
      </c>
      <c r="M97" s="12" t="n">
        <f aca="false">SUMIFS(Sessions!$I:$I,Sessions!$A:$A,$A97,Sessions!$B:$B,"Gemini")</f>
        <v>0</v>
      </c>
      <c r="N97" s="12" t="n">
        <f aca="false">SUMIFS(Sessions!$I:$I,Sessions!$A:$A,$A97,Sessions!$B:$B,"Copilot")</f>
        <v>0</v>
      </c>
      <c r="O97" s="14" t="n">
        <f aca="false">IFERROR(J97/H97,"")</f>
        <v>0.0449438202247191</v>
      </c>
      <c r="P97" s="15" t="n">
        <f aca="false">IFERROR(N97/H97,"")</f>
        <v>0</v>
      </c>
      <c r="Q97" s="2" t="s">
        <v>455</v>
      </c>
    </row>
    <row r="98" customFormat="false" ht="15" hidden="false" customHeight="false" outlineLevel="0" collapsed="false">
      <c r="A98" s="11" t="n">
        <v>46252</v>
      </c>
      <c r="B98" s="2" t="n">
        <v>2026</v>
      </c>
      <c r="C98" s="2" t="s">
        <v>463</v>
      </c>
      <c r="D98" s="2" t="n">
        <v>34</v>
      </c>
      <c r="E98" s="11" t="n">
        <v>46251</v>
      </c>
      <c r="F98" s="2" t="s">
        <v>459</v>
      </c>
      <c r="G98" s="2" t="s">
        <v>63</v>
      </c>
      <c r="H98" s="12" t="n">
        <v>76</v>
      </c>
      <c r="I98" s="12" t="n">
        <v>10</v>
      </c>
      <c r="J98" s="12" t="n">
        <f aca="false">SUMIFS(Sessions!$I:$I,Sessions!$A:$A,$A98)</f>
        <v>3</v>
      </c>
      <c r="K98" s="12" t="n">
        <f aca="false">SUMIFS(Sessions!$I:$I,Sessions!$A:$A,$A98,Sessions!$B:$B,"ChatGPT")</f>
        <v>3</v>
      </c>
      <c r="L98" s="12" t="n">
        <f aca="false">SUMIFS(Sessions!$I:$I,Sessions!$A:$A,$A98,Sessions!$B:$B,"Claude")</f>
        <v>0</v>
      </c>
      <c r="M98" s="12" t="n">
        <f aca="false">SUMIFS(Sessions!$I:$I,Sessions!$A:$A,$A98,Sessions!$B:$B,"Gemini")</f>
        <v>0</v>
      </c>
      <c r="N98" s="12" t="n">
        <f aca="false">SUMIFS(Sessions!$I:$I,Sessions!$A:$A,$A98,Sessions!$B:$B,"Copilot")</f>
        <v>0</v>
      </c>
      <c r="O98" s="14" t="n">
        <f aca="false">IFERROR(J98/H98,"")</f>
        <v>0.0394736842105263</v>
      </c>
      <c r="P98" s="15" t="n">
        <f aca="false">IFERROR(N98/H98,"")</f>
        <v>0</v>
      </c>
      <c r="Q98" s="2" t="s">
        <v>455</v>
      </c>
    </row>
    <row r="99" customFormat="false" ht="15" hidden="false" customHeight="false" outlineLevel="0" collapsed="false">
      <c r="A99" s="11" t="n">
        <v>46253</v>
      </c>
      <c r="B99" s="2" t="n">
        <v>2026</v>
      </c>
      <c r="C99" s="2" t="s">
        <v>463</v>
      </c>
      <c r="D99" s="2" t="n">
        <v>34</v>
      </c>
      <c r="E99" s="11" t="n">
        <v>46251</v>
      </c>
      <c r="F99" s="2" t="s">
        <v>460</v>
      </c>
      <c r="G99" s="2" t="s">
        <v>63</v>
      </c>
      <c r="H99" s="12" t="n">
        <v>92</v>
      </c>
      <c r="I99" s="12" t="n">
        <v>11</v>
      </c>
      <c r="J99" s="12" t="n">
        <f aca="false">SUMIFS(Sessions!$I:$I,Sessions!$A:$A,$A99)</f>
        <v>12</v>
      </c>
      <c r="K99" s="12" t="n">
        <f aca="false">SUMIFS(Sessions!$I:$I,Sessions!$A:$A,$A99,Sessions!$B:$B,"ChatGPT")</f>
        <v>12</v>
      </c>
      <c r="L99" s="12" t="n">
        <f aca="false">SUMIFS(Sessions!$I:$I,Sessions!$A:$A,$A99,Sessions!$B:$B,"Claude")</f>
        <v>0</v>
      </c>
      <c r="M99" s="12" t="n">
        <f aca="false">SUMIFS(Sessions!$I:$I,Sessions!$A:$A,$A99,Sessions!$B:$B,"Gemini")</f>
        <v>0</v>
      </c>
      <c r="N99" s="12" t="n">
        <f aca="false">SUMIFS(Sessions!$I:$I,Sessions!$A:$A,$A99,Sessions!$B:$B,"Copilot")</f>
        <v>0</v>
      </c>
      <c r="O99" s="14" t="n">
        <f aca="false">IFERROR(J99/H99,"")</f>
        <v>0.130434782608696</v>
      </c>
      <c r="P99" s="15" t="n">
        <f aca="false">IFERROR(N99/H99,"")</f>
        <v>0</v>
      </c>
      <c r="Q99" s="2" t="s">
        <v>455</v>
      </c>
    </row>
    <row r="100" customFormat="false" ht="15" hidden="false" customHeight="false" outlineLevel="0" collapsed="false">
      <c r="A100" s="11" t="n">
        <v>46254</v>
      </c>
      <c r="B100" s="2" t="n">
        <v>2026</v>
      </c>
      <c r="C100" s="2" t="s">
        <v>463</v>
      </c>
      <c r="D100" s="2" t="n">
        <v>34</v>
      </c>
      <c r="E100" s="11" t="n">
        <v>46251</v>
      </c>
      <c r="F100" s="2" t="s">
        <v>452</v>
      </c>
      <c r="G100" s="2" t="s">
        <v>63</v>
      </c>
      <c r="H100" s="12" t="n">
        <v>72</v>
      </c>
      <c r="I100" s="12" t="n">
        <v>9</v>
      </c>
      <c r="J100" s="12" t="n">
        <f aca="false">SUMIFS(Sessions!$I:$I,Sessions!$A:$A,$A100)</f>
        <v>21</v>
      </c>
      <c r="K100" s="12" t="n">
        <f aca="false">SUMIFS(Sessions!$I:$I,Sessions!$A:$A,$A100,Sessions!$B:$B,"ChatGPT")</f>
        <v>20</v>
      </c>
      <c r="L100" s="12" t="n">
        <f aca="false">SUMIFS(Sessions!$I:$I,Sessions!$A:$A,$A100,Sessions!$B:$B,"Claude")</f>
        <v>0</v>
      </c>
      <c r="M100" s="12" t="n">
        <f aca="false">SUMIFS(Sessions!$I:$I,Sessions!$A:$A,$A100,Sessions!$B:$B,"Gemini")</f>
        <v>0</v>
      </c>
      <c r="N100" s="12" t="n">
        <f aca="false">SUMIFS(Sessions!$I:$I,Sessions!$A:$A,$A100,Sessions!$B:$B,"Copilot")</f>
        <v>1</v>
      </c>
      <c r="O100" s="14" t="n">
        <f aca="false">IFERROR(J100/H100,"")</f>
        <v>0.291666666666667</v>
      </c>
      <c r="P100" s="15" t="n">
        <f aca="false">IFERROR(N100/H100,"")</f>
        <v>0.0138888888888889</v>
      </c>
      <c r="Q100" s="2" t="s">
        <v>455</v>
      </c>
    </row>
    <row r="101" customFormat="false" ht="15" hidden="false" customHeight="false" outlineLevel="0" collapsed="false">
      <c r="A101" s="11" t="n">
        <v>46255</v>
      </c>
      <c r="B101" s="2" t="n">
        <v>2026</v>
      </c>
      <c r="C101" s="2" t="s">
        <v>463</v>
      </c>
      <c r="D101" s="2" t="n">
        <v>34</v>
      </c>
      <c r="E101" s="11" t="n">
        <v>46251</v>
      </c>
      <c r="F101" s="2" t="s">
        <v>454</v>
      </c>
      <c r="G101" s="2" t="s">
        <v>63</v>
      </c>
      <c r="H101" s="12" t="n">
        <v>26</v>
      </c>
      <c r="I101" s="12" t="n">
        <v>7</v>
      </c>
      <c r="J101" s="12" t="n">
        <f aca="false">SUMIFS(Sessions!$I:$I,Sessions!$A:$A,$A101)</f>
        <v>11</v>
      </c>
      <c r="K101" s="12" t="n">
        <f aca="false">SUMIFS(Sessions!$I:$I,Sessions!$A:$A,$A101,Sessions!$B:$B,"ChatGPT")</f>
        <v>11</v>
      </c>
      <c r="L101" s="12" t="n">
        <f aca="false">SUMIFS(Sessions!$I:$I,Sessions!$A:$A,$A101,Sessions!$B:$B,"Claude")</f>
        <v>0</v>
      </c>
      <c r="M101" s="12" t="n">
        <f aca="false">SUMIFS(Sessions!$I:$I,Sessions!$A:$A,$A101,Sessions!$B:$B,"Gemini")</f>
        <v>0</v>
      </c>
      <c r="N101" s="12" t="n">
        <f aca="false">SUMIFS(Sessions!$I:$I,Sessions!$A:$A,$A101,Sessions!$B:$B,"Copilot")</f>
        <v>0</v>
      </c>
      <c r="O101" s="14" t="n">
        <f aca="false">IFERROR(J101/H101,"")</f>
        <v>0.423076923076923</v>
      </c>
      <c r="P101" s="15" t="n">
        <f aca="false">IFERROR(N101/H101,"")</f>
        <v>0</v>
      </c>
      <c r="Q101" s="2" t="s">
        <v>455</v>
      </c>
    </row>
    <row r="102" customFormat="false" ht="15" hidden="false" customHeight="false" outlineLevel="0" collapsed="false">
      <c r="A102" s="11" t="n">
        <v>46256</v>
      </c>
      <c r="B102" s="2" t="n">
        <v>2026</v>
      </c>
      <c r="C102" s="2" t="s">
        <v>463</v>
      </c>
      <c r="D102" s="2" t="n">
        <v>34</v>
      </c>
      <c r="E102" s="11" t="n">
        <v>46251</v>
      </c>
      <c r="F102" s="2" t="s">
        <v>456</v>
      </c>
      <c r="G102" s="2" t="s">
        <v>75</v>
      </c>
      <c r="H102" s="12" t="n">
        <v>28</v>
      </c>
      <c r="I102" s="12" t="n">
        <v>4</v>
      </c>
      <c r="J102" s="12" t="n">
        <f aca="false">SUMIFS(Sessions!$I:$I,Sessions!$A:$A,$A102)</f>
        <v>11</v>
      </c>
      <c r="K102" s="12" t="n">
        <f aca="false">SUMIFS(Sessions!$I:$I,Sessions!$A:$A,$A102,Sessions!$B:$B,"ChatGPT")</f>
        <v>7</v>
      </c>
      <c r="L102" s="12" t="n">
        <f aca="false">SUMIFS(Sessions!$I:$I,Sessions!$A:$A,$A102,Sessions!$B:$B,"Claude")</f>
        <v>4</v>
      </c>
      <c r="M102" s="12" t="n">
        <f aca="false">SUMIFS(Sessions!$I:$I,Sessions!$A:$A,$A102,Sessions!$B:$B,"Gemini")</f>
        <v>0</v>
      </c>
      <c r="N102" s="12" t="n">
        <f aca="false">SUMIFS(Sessions!$I:$I,Sessions!$A:$A,$A102,Sessions!$B:$B,"Copilot")</f>
        <v>0</v>
      </c>
      <c r="O102" s="14" t="n">
        <f aca="false">IFERROR(J102/H102,"")</f>
        <v>0.392857142857143</v>
      </c>
      <c r="P102" s="15" t="n">
        <f aca="false">IFERROR(N102/H102,"")</f>
        <v>0</v>
      </c>
      <c r="Q102" s="2" t="s">
        <v>455</v>
      </c>
    </row>
    <row r="103" customFormat="false" ht="15" hidden="false" customHeight="false" outlineLevel="0" collapsed="false">
      <c r="A103" s="11" t="n">
        <v>46257</v>
      </c>
      <c r="B103" s="2" t="n">
        <v>2026</v>
      </c>
      <c r="C103" s="2" t="s">
        <v>463</v>
      </c>
      <c r="D103" s="2" t="n">
        <v>34</v>
      </c>
      <c r="E103" s="11" t="n">
        <v>46251</v>
      </c>
      <c r="F103" s="2" t="s">
        <v>457</v>
      </c>
      <c r="G103" s="2" t="s">
        <v>75</v>
      </c>
      <c r="H103" s="12" t="n">
        <v>78</v>
      </c>
      <c r="I103" s="12" t="n">
        <v>14</v>
      </c>
      <c r="J103" s="12" t="n">
        <f aca="false">SUMIFS(Sessions!$I:$I,Sessions!$A:$A,$A103)</f>
        <v>5</v>
      </c>
      <c r="K103" s="12" t="n">
        <f aca="false">SUMIFS(Sessions!$I:$I,Sessions!$A:$A,$A103,Sessions!$B:$B,"ChatGPT")</f>
        <v>5</v>
      </c>
      <c r="L103" s="12" t="n">
        <f aca="false">SUMIFS(Sessions!$I:$I,Sessions!$A:$A,$A103,Sessions!$B:$B,"Claude")</f>
        <v>0</v>
      </c>
      <c r="M103" s="12" t="n">
        <f aca="false">SUMIFS(Sessions!$I:$I,Sessions!$A:$A,$A103,Sessions!$B:$B,"Gemini")</f>
        <v>0</v>
      </c>
      <c r="N103" s="12" t="n">
        <f aca="false">SUMIFS(Sessions!$I:$I,Sessions!$A:$A,$A103,Sessions!$B:$B,"Copilot")</f>
        <v>0</v>
      </c>
      <c r="O103" s="14" t="n">
        <f aca="false">IFERROR(J103/H103,"")</f>
        <v>0.0641025641025641</v>
      </c>
      <c r="P103" s="15" t="n">
        <f aca="false">IFERROR(N103/H103,"")</f>
        <v>0</v>
      </c>
      <c r="Q103" s="2" t="s">
        <v>455</v>
      </c>
    </row>
    <row r="104" customFormat="false" ht="15" hidden="false" customHeight="false" outlineLevel="0" collapsed="false">
      <c r="A104" s="11" t="n">
        <v>46258</v>
      </c>
      <c r="B104" s="2" t="n">
        <v>2026</v>
      </c>
      <c r="C104" s="2" t="s">
        <v>463</v>
      </c>
      <c r="D104" s="2" t="n">
        <v>35</v>
      </c>
      <c r="E104" s="11" t="n">
        <v>46258</v>
      </c>
      <c r="F104" s="2" t="s">
        <v>458</v>
      </c>
      <c r="G104" s="2" t="s">
        <v>63</v>
      </c>
      <c r="H104" s="12" t="n">
        <v>143</v>
      </c>
      <c r="I104" s="12" t="n">
        <v>21</v>
      </c>
      <c r="J104" s="12" t="n">
        <f aca="false">SUMIFS(Sessions!$I:$I,Sessions!$A:$A,$A104)</f>
        <v>6</v>
      </c>
      <c r="K104" s="12" t="n">
        <f aca="false">SUMIFS(Sessions!$I:$I,Sessions!$A:$A,$A104,Sessions!$B:$B,"ChatGPT")</f>
        <v>6</v>
      </c>
      <c r="L104" s="12" t="n">
        <f aca="false">SUMIFS(Sessions!$I:$I,Sessions!$A:$A,$A104,Sessions!$B:$B,"Claude")</f>
        <v>0</v>
      </c>
      <c r="M104" s="12" t="n">
        <f aca="false">SUMIFS(Sessions!$I:$I,Sessions!$A:$A,$A104,Sessions!$B:$B,"Gemini")</f>
        <v>0</v>
      </c>
      <c r="N104" s="12" t="n">
        <f aca="false">SUMIFS(Sessions!$I:$I,Sessions!$A:$A,$A104,Sessions!$B:$B,"Copilot")</f>
        <v>0</v>
      </c>
      <c r="O104" s="14" t="n">
        <f aca="false">IFERROR(J104/H104,"")</f>
        <v>0.041958041958042</v>
      </c>
      <c r="P104" s="15" t="n">
        <f aca="false">IFERROR(N104/H104,"")</f>
        <v>0</v>
      </c>
      <c r="Q104" s="2" t="s">
        <v>455</v>
      </c>
    </row>
    <row r="105" customFormat="false" ht="15" hidden="false" customHeight="false" outlineLevel="0" collapsed="false">
      <c r="A105" s="11" t="n">
        <v>46259</v>
      </c>
      <c r="B105" s="2" t="n">
        <v>2026</v>
      </c>
      <c r="C105" s="2" t="s">
        <v>463</v>
      </c>
      <c r="D105" s="2" t="n">
        <v>35</v>
      </c>
      <c r="E105" s="11" t="n">
        <v>46258</v>
      </c>
      <c r="F105" s="2" t="s">
        <v>459</v>
      </c>
      <c r="G105" s="2" t="s">
        <v>63</v>
      </c>
      <c r="H105" s="12" t="n">
        <v>134</v>
      </c>
      <c r="I105" s="12" t="n">
        <v>16</v>
      </c>
      <c r="J105" s="12" t="n">
        <f aca="false">SUMIFS(Sessions!$I:$I,Sessions!$A:$A,$A105)</f>
        <v>6</v>
      </c>
      <c r="K105" s="12" t="n">
        <f aca="false">SUMIFS(Sessions!$I:$I,Sessions!$A:$A,$A105,Sessions!$B:$B,"ChatGPT")</f>
        <v>6</v>
      </c>
      <c r="L105" s="12" t="n">
        <f aca="false">SUMIFS(Sessions!$I:$I,Sessions!$A:$A,$A105,Sessions!$B:$B,"Claude")</f>
        <v>0</v>
      </c>
      <c r="M105" s="12" t="n">
        <f aca="false">SUMIFS(Sessions!$I:$I,Sessions!$A:$A,$A105,Sessions!$B:$B,"Gemini")</f>
        <v>0</v>
      </c>
      <c r="N105" s="12" t="n">
        <f aca="false">SUMIFS(Sessions!$I:$I,Sessions!$A:$A,$A105,Sessions!$B:$B,"Copilot")</f>
        <v>0</v>
      </c>
      <c r="O105" s="14" t="n">
        <f aca="false">IFERROR(J105/H105,"")</f>
        <v>0.0447761194029851</v>
      </c>
      <c r="P105" s="15" t="n">
        <f aca="false">IFERROR(N105/H105,"")</f>
        <v>0</v>
      </c>
      <c r="Q105" s="2" t="s">
        <v>455</v>
      </c>
    </row>
    <row r="106" customFormat="false" ht="15" hidden="false" customHeight="false" outlineLevel="0" collapsed="false">
      <c r="A106" s="11" t="n">
        <v>46260</v>
      </c>
      <c r="B106" s="2" t="n">
        <v>2026</v>
      </c>
      <c r="C106" s="2" t="s">
        <v>463</v>
      </c>
      <c r="D106" s="2" t="n">
        <v>35</v>
      </c>
      <c r="E106" s="11" t="n">
        <v>46258</v>
      </c>
      <c r="F106" s="2" t="s">
        <v>460</v>
      </c>
      <c r="G106" s="2" t="s">
        <v>63</v>
      </c>
      <c r="H106" s="12" t="n">
        <v>111</v>
      </c>
      <c r="I106" s="12" t="n">
        <v>11</v>
      </c>
      <c r="J106" s="12" t="n">
        <f aca="false">SUMIFS(Sessions!$I:$I,Sessions!$A:$A,$A106)</f>
        <v>8</v>
      </c>
      <c r="K106" s="12" t="n">
        <f aca="false">SUMIFS(Sessions!$I:$I,Sessions!$A:$A,$A106,Sessions!$B:$B,"ChatGPT")</f>
        <v>6</v>
      </c>
      <c r="L106" s="12" t="n">
        <f aca="false">SUMIFS(Sessions!$I:$I,Sessions!$A:$A,$A106,Sessions!$B:$B,"Claude")</f>
        <v>2</v>
      </c>
      <c r="M106" s="12" t="n">
        <f aca="false">SUMIFS(Sessions!$I:$I,Sessions!$A:$A,$A106,Sessions!$B:$B,"Gemini")</f>
        <v>0</v>
      </c>
      <c r="N106" s="12" t="n">
        <f aca="false">SUMIFS(Sessions!$I:$I,Sessions!$A:$A,$A106,Sessions!$B:$B,"Copilot")</f>
        <v>0</v>
      </c>
      <c r="O106" s="14" t="n">
        <f aca="false">IFERROR(J106/H106,"")</f>
        <v>0.0720720720720721</v>
      </c>
      <c r="P106" s="15" t="n">
        <f aca="false">IFERROR(N106/H106,"")</f>
        <v>0</v>
      </c>
      <c r="Q106" s="2" t="s">
        <v>455</v>
      </c>
    </row>
    <row r="107" customFormat="false" ht="15" hidden="false" customHeight="false" outlineLevel="0" collapsed="false">
      <c r="A107" s="11" t="n">
        <v>46261</v>
      </c>
      <c r="B107" s="2" t="n">
        <v>2026</v>
      </c>
      <c r="C107" s="2" t="s">
        <v>463</v>
      </c>
      <c r="D107" s="2" t="n">
        <v>35</v>
      </c>
      <c r="E107" s="11" t="n">
        <v>46258</v>
      </c>
      <c r="F107" s="2" t="s">
        <v>452</v>
      </c>
      <c r="G107" s="2" t="s">
        <v>63</v>
      </c>
      <c r="H107" s="12" t="n">
        <v>97</v>
      </c>
      <c r="I107" s="12" t="n">
        <v>15</v>
      </c>
      <c r="J107" s="12" t="n">
        <f aca="false">SUMIFS(Sessions!$I:$I,Sessions!$A:$A,$A107)</f>
        <v>9</v>
      </c>
      <c r="K107" s="12" t="n">
        <f aca="false">SUMIFS(Sessions!$I:$I,Sessions!$A:$A,$A107,Sessions!$B:$B,"ChatGPT")</f>
        <v>8</v>
      </c>
      <c r="L107" s="12" t="n">
        <f aca="false">SUMIFS(Sessions!$I:$I,Sessions!$A:$A,$A107,Sessions!$B:$B,"Claude")</f>
        <v>1</v>
      </c>
      <c r="M107" s="12" t="n">
        <f aca="false">SUMIFS(Sessions!$I:$I,Sessions!$A:$A,$A107,Sessions!$B:$B,"Gemini")</f>
        <v>0</v>
      </c>
      <c r="N107" s="12" t="n">
        <f aca="false">SUMIFS(Sessions!$I:$I,Sessions!$A:$A,$A107,Sessions!$B:$B,"Copilot")</f>
        <v>0</v>
      </c>
      <c r="O107" s="14" t="n">
        <f aca="false">IFERROR(J107/H107,"")</f>
        <v>0.0927835051546392</v>
      </c>
      <c r="P107" s="15" t="n">
        <f aca="false">IFERROR(N107/H107,"")</f>
        <v>0</v>
      </c>
      <c r="Q107" s="2" t="s">
        <v>455</v>
      </c>
    </row>
    <row r="108" customFormat="false" ht="15" hidden="false" customHeight="false" outlineLevel="0" collapsed="false">
      <c r="A108" s="11" t="n">
        <v>46262</v>
      </c>
      <c r="B108" s="2" t="n">
        <v>2026</v>
      </c>
      <c r="C108" s="2" t="s">
        <v>463</v>
      </c>
      <c r="D108" s="2" t="n">
        <v>35</v>
      </c>
      <c r="E108" s="11" t="n">
        <v>46258</v>
      </c>
      <c r="F108" s="2" t="s">
        <v>454</v>
      </c>
      <c r="G108" s="2" t="s">
        <v>63</v>
      </c>
      <c r="H108" s="12" t="n">
        <v>125</v>
      </c>
      <c r="I108" s="12" t="n">
        <v>18</v>
      </c>
      <c r="J108" s="12" t="n">
        <f aca="false">SUMIFS(Sessions!$I:$I,Sessions!$A:$A,$A108)</f>
        <v>12</v>
      </c>
      <c r="K108" s="12" t="n">
        <f aca="false">SUMIFS(Sessions!$I:$I,Sessions!$A:$A,$A108,Sessions!$B:$B,"ChatGPT")</f>
        <v>11</v>
      </c>
      <c r="L108" s="12" t="n">
        <f aca="false">SUMIFS(Sessions!$I:$I,Sessions!$A:$A,$A108,Sessions!$B:$B,"Claude")</f>
        <v>1</v>
      </c>
      <c r="M108" s="12" t="n">
        <f aca="false">SUMIFS(Sessions!$I:$I,Sessions!$A:$A,$A108,Sessions!$B:$B,"Gemini")</f>
        <v>0</v>
      </c>
      <c r="N108" s="12" t="n">
        <f aca="false">SUMIFS(Sessions!$I:$I,Sessions!$A:$A,$A108,Sessions!$B:$B,"Copilot")</f>
        <v>0</v>
      </c>
      <c r="O108" s="14" t="n">
        <f aca="false">IFERROR(J108/H108,"")</f>
        <v>0.096</v>
      </c>
      <c r="P108" s="15" t="n">
        <f aca="false">IFERROR(N108/H108,"")</f>
        <v>0</v>
      </c>
      <c r="Q108" s="2" t="s">
        <v>455</v>
      </c>
    </row>
    <row r="109" customFormat="false" ht="15" hidden="false" customHeight="false" outlineLevel="0" collapsed="false">
      <c r="A109" s="11" t="n">
        <v>46263</v>
      </c>
      <c r="B109" s="2" t="n">
        <v>2026</v>
      </c>
      <c r="C109" s="2" t="s">
        <v>463</v>
      </c>
      <c r="D109" s="2" t="n">
        <v>35</v>
      </c>
      <c r="E109" s="11" t="n">
        <v>46258</v>
      </c>
      <c r="F109" s="2" t="s">
        <v>456</v>
      </c>
      <c r="G109" s="2" t="s">
        <v>75</v>
      </c>
      <c r="H109" s="12" t="n">
        <v>53</v>
      </c>
      <c r="I109" s="12" t="n">
        <v>4</v>
      </c>
      <c r="J109" s="12" t="n">
        <f aca="false">SUMIFS(Sessions!$I:$I,Sessions!$A:$A,$A109)</f>
        <v>1</v>
      </c>
      <c r="K109" s="12" t="n">
        <f aca="false">SUMIFS(Sessions!$I:$I,Sessions!$A:$A,$A109,Sessions!$B:$B,"ChatGPT")</f>
        <v>1</v>
      </c>
      <c r="L109" s="12" t="n">
        <f aca="false">SUMIFS(Sessions!$I:$I,Sessions!$A:$A,$A109,Sessions!$B:$B,"Claude")</f>
        <v>0</v>
      </c>
      <c r="M109" s="12" t="n">
        <f aca="false">SUMIFS(Sessions!$I:$I,Sessions!$A:$A,$A109,Sessions!$B:$B,"Gemini")</f>
        <v>0</v>
      </c>
      <c r="N109" s="12" t="n">
        <f aca="false">SUMIFS(Sessions!$I:$I,Sessions!$A:$A,$A109,Sessions!$B:$B,"Copilot")</f>
        <v>0</v>
      </c>
      <c r="O109" s="14" t="n">
        <f aca="false">IFERROR(J109/H109,"")</f>
        <v>0.0188679245283019</v>
      </c>
      <c r="P109" s="15" t="n">
        <f aca="false">IFERROR(N109/H109,"")</f>
        <v>0</v>
      </c>
      <c r="Q109" s="2" t="s">
        <v>455</v>
      </c>
    </row>
    <row r="110" customFormat="false" ht="15" hidden="false" customHeight="false" outlineLevel="0" collapsed="false">
      <c r="A110" s="11" t="n">
        <v>46264</v>
      </c>
      <c r="B110" s="2" t="n">
        <v>2026</v>
      </c>
      <c r="C110" s="2" t="s">
        <v>463</v>
      </c>
      <c r="D110" s="2" t="n">
        <v>35</v>
      </c>
      <c r="E110" s="11" t="n">
        <v>46258</v>
      </c>
      <c r="F110" s="2" t="s">
        <v>457</v>
      </c>
      <c r="G110" s="2" t="s">
        <v>75</v>
      </c>
      <c r="H110" s="12" t="n">
        <v>84</v>
      </c>
      <c r="I110" s="12" t="n">
        <v>15</v>
      </c>
      <c r="J110" s="12" t="n">
        <f aca="false">SUMIFS(Sessions!$I:$I,Sessions!$A:$A,$A110)</f>
        <v>9</v>
      </c>
      <c r="K110" s="12" t="n">
        <f aca="false">SUMIFS(Sessions!$I:$I,Sessions!$A:$A,$A110,Sessions!$B:$B,"ChatGPT")</f>
        <v>9</v>
      </c>
      <c r="L110" s="12" t="n">
        <f aca="false">SUMIFS(Sessions!$I:$I,Sessions!$A:$A,$A110,Sessions!$B:$B,"Claude")</f>
        <v>0</v>
      </c>
      <c r="M110" s="12" t="n">
        <f aca="false">SUMIFS(Sessions!$I:$I,Sessions!$A:$A,$A110,Sessions!$B:$B,"Gemini")</f>
        <v>0</v>
      </c>
      <c r="N110" s="12" t="n">
        <f aca="false">SUMIFS(Sessions!$I:$I,Sessions!$A:$A,$A110,Sessions!$B:$B,"Copilot")</f>
        <v>0</v>
      </c>
      <c r="O110" s="14" t="n">
        <f aca="false">IFERROR(J110/H110,"")</f>
        <v>0.107142857142857</v>
      </c>
      <c r="P110" s="15" t="n">
        <f aca="false">IFERROR(N110/H110,"")</f>
        <v>0</v>
      </c>
      <c r="Q110" s="2" t="s">
        <v>455</v>
      </c>
    </row>
    <row r="111" customFormat="false" ht="15" hidden="false" customHeight="false" outlineLevel="0" collapsed="false">
      <c r="A111" s="11" t="n">
        <v>46265</v>
      </c>
      <c r="B111" s="2" t="n">
        <v>2026</v>
      </c>
      <c r="C111" s="2" t="s">
        <v>463</v>
      </c>
      <c r="D111" s="2" t="n">
        <v>36</v>
      </c>
      <c r="E111" s="11" t="n">
        <v>46265</v>
      </c>
      <c r="F111" s="2" t="s">
        <v>458</v>
      </c>
      <c r="G111" s="2" t="s">
        <v>63</v>
      </c>
      <c r="H111" s="12" t="n">
        <v>165</v>
      </c>
      <c r="I111" s="12" t="n">
        <v>24</v>
      </c>
      <c r="J111" s="12" t="n">
        <f aca="false">SUMIFS(Sessions!$I:$I,Sessions!$A:$A,$A111)</f>
        <v>13</v>
      </c>
      <c r="K111" s="12" t="n">
        <f aca="false">SUMIFS(Sessions!$I:$I,Sessions!$A:$A,$A111,Sessions!$B:$B,"ChatGPT")</f>
        <v>13</v>
      </c>
      <c r="L111" s="12" t="n">
        <f aca="false">SUMIFS(Sessions!$I:$I,Sessions!$A:$A,$A111,Sessions!$B:$B,"Claude")</f>
        <v>0</v>
      </c>
      <c r="M111" s="12" t="n">
        <f aca="false">SUMIFS(Sessions!$I:$I,Sessions!$A:$A,$A111,Sessions!$B:$B,"Gemini")</f>
        <v>0</v>
      </c>
      <c r="N111" s="12" t="n">
        <f aca="false">SUMIFS(Sessions!$I:$I,Sessions!$A:$A,$A111,Sessions!$B:$B,"Copilot")</f>
        <v>0</v>
      </c>
      <c r="O111" s="14" t="n">
        <f aca="false">IFERROR(J111/H111,"")</f>
        <v>0.0787878787878788</v>
      </c>
      <c r="P111" s="15" t="n">
        <f aca="false">IFERROR(N111/H111,"")</f>
        <v>0</v>
      </c>
      <c r="Q111" s="2" t="s">
        <v>455</v>
      </c>
    </row>
    <row r="112" customFormat="false" ht="15" hidden="false" customHeight="false" outlineLevel="0" collapsed="false">
      <c r="A112" s="11" t="n">
        <v>46266</v>
      </c>
      <c r="B112" s="2" t="n">
        <v>2026</v>
      </c>
      <c r="C112" s="2" t="s">
        <v>464</v>
      </c>
      <c r="D112" s="2" t="n">
        <v>36</v>
      </c>
      <c r="E112" s="11" t="n">
        <v>46265</v>
      </c>
      <c r="F112" s="2" t="s">
        <v>459</v>
      </c>
      <c r="G112" s="2" t="s">
        <v>63</v>
      </c>
      <c r="H112" s="12" t="n">
        <v>163</v>
      </c>
      <c r="I112" s="12" t="n">
        <v>22</v>
      </c>
      <c r="J112" s="12" t="n">
        <f aca="false">SUMIFS(Sessions!$I:$I,Sessions!$A:$A,$A112)</f>
        <v>9</v>
      </c>
      <c r="K112" s="12" t="n">
        <f aca="false">SUMIFS(Sessions!$I:$I,Sessions!$A:$A,$A112,Sessions!$B:$B,"ChatGPT")</f>
        <v>9</v>
      </c>
      <c r="L112" s="12" t="n">
        <f aca="false">SUMIFS(Sessions!$I:$I,Sessions!$A:$A,$A112,Sessions!$B:$B,"Claude")</f>
        <v>0</v>
      </c>
      <c r="M112" s="12" t="n">
        <f aca="false">SUMIFS(Sessions!$I:$I,Sessions!$A:$A,$A112,Sessions!$B:$B,"Gemini")</f>
        <v>0</v>
      </c>
      <c r="N112" s="12" t="n">
        <f aca="false">SUMIFS(Sessions!$I:$I,Sessions!$A:$A,$A112,Sessions!$B:$B,"Copilot")</f>
        <v>0</v>
      </c>
      <c r="O112" s="14" t="n">
        <f aca="false">IFERROR(J112/H112,"")</f>
        <v>0.0552147239263804</v>
      </c>
      <c r="P112" s="15" t="n">
        <f aca="false">IFERROR(N112/H112,"")</f>
        <v>0</v>
      </c>
      <c r="Q112" s="2" t="s">
        <v>455</v>
      </c>
    </row>
    <row r="113" customFormat="false" ht="15" hidden="false" customHeight="false" outlineLevel="0" collapsed="false">
      <c r="A113" s="11" t="n">
        <v>46267</v>
      </c>
      <c r="B113" s="2" t="n">
        <v>2026</v>
      </c>
      <c r="C113" s="2" t="s">
        <v>464</v>
      </c>
      <c r="D113" s="2" t="n">
        <v>36</v>
      </c>
      <c r="E113" s="11" t="n">
        <v>46265</v>
      </c>
      <c r="F113" s="2" t="s">
        <v>460</v>
      </c>
      <c r="G113" s="2" t="s">
        <v>63</v>
      </c>
      <c r="H113" s="12" t="n">
        <v>109</v>
      </c>
      <c r="I113" s="12" t="n">
        <v>14</v>
      </c>
      <c r="J113" s="12" t="n">
        <f aca="false">SUMIFS(Sessions!$I:$I,Sessions!$A:$A,$A113)</f>
        <v>5</v>
      </c>
      <c r="K113" s="12" t="n">
        <f aca="false">SUMIFS(Sessions!$I:$I,Sessions!$A:$A,$A113,Sessions!$B:$B,"ChatGPT")</f>
        <v>5</v>
      </c>
      <c r="L113" s="12" t="n">
        <f aca="false">SUMIFS(Sessions!$I:$I,Sessions!$A:$A,$A113,Sessions!$B:$B,"Claude")</f>
        <v>0</v>
      </c>
      <c r="M113" s="12" t="n">
        <f aca="false">SUMIFS(Sessions!$I:$I,Sessions!$A:$A,$A113,Sessions!$B:$B,"Gemini")</f>
        <v>0</v>
      </c>
      <c r="N113" s="12" t="n">
        <f aca="false">SUMIFS(Sessions!$I:$I,Sessions!$A:$A,$A113,Sessions!$B:$B,"Copilot")</f>
        <v>0</v>
      </c>
      <c r="O113" s="14" t="n">
        <f aca="false">IFERROR(J113/H113,"")</f>
        <v>0.0458715596330275</v>
      </c>
      <c r="P113" s="15" t="n">
        <f aca="false">IFERROR(N113/H113,"")</f>
        <v>0</v>
      </c>
      <c r="Q113" s="2" t="s">
        <v>455</v>
      </c>
    </row>
    <row r="114" customFormat="false" ht="15" hidden="false" customHeight="false" outlineLevel="0" collapsed="false">
      <c r="A114" s="11" t="n">
        <v>46268</v>
      </c>
      <c r="B114" s="2" t="n">
        <v>2026</v>
      </c>
      <c r="C114" s="2" t="s">
        <v>464</v>
      </c>
      <c r="D114" s="2" t="n">
        <v>36</v>
      </c>
      <c r="E114" s="11" t="n">
        <v>46265</v>
      </c>
      <c r="F114" s="2" t="s">
        <v>452</v>
      </c>
      <c r="G114" s="2" t="s">
        <v>63</v>
      </c>
      <c r="H114" s="12" t="n">
        <v>107</v>
      </c>
      <c r="I114" s="12" t="n">
        <v>16</v>
      </c>
      <c r="J114" s="12" t="n">
        <f aca="false">SUMIFS(Sessions!$I:$I,Sessions!$A:$A,$A114)</f>
        <v>16</v>
      </c>
      <c r="K114" s="12" t="n">
        <f aca="false">SUMIFS(Sessions!$I:$I,Sessions!$A:$A,$A114,Sessions!$B:$B,"ChatGPT")</f>
        <v>16</v>
      </c>
      <c r="L114" s="12" t="n">
        <f aca="false">SUMIFS(Sessions!$I:$I,Sessions!$A:$A,$A114,Sessions!$B:$B,"Claude")</f>
        <v>0</v>
      </c>
      <c r="M114" s="12" t="n">
        <f aca="false">SUMIFS(Sessions!$I:$I,Sessions!$A:$A,$A114,Sessions!$B:$B,"Gemini")</f>
        <v>0</v>
      </c>
      <c r="N114" s="12" t="n">
        <f aca="false">SUMIFS(Sessions!$I:$I,Sessions!$A:$A,$A114,Sessions!$B:$B,"Copilot")</f>
        <v>0</v>
      </c>
      <c r="O114" s="14" t="n">
        <f aca="false">IFERROR(J114/H114,"")</f>
        <v>0.149532710280374</v>
      </c>
      <c r="P114" s="15" t="n">
        <f aca="false">IFERROR(N114/H114,"")</f>
        <v>0</v>
      </c>
      <c r="Q114" s="2" t="s">
        <v>455</v>
      </c>
    </row>
    <row r="115" customFormat="false" ht="15" hidden="false" customHeight="false" outlineLevel="0" collapsed="false">
      <c r="A115" s="11" t="n">
        <v>46269</v>
      </c>
      <c r="B115" s="2" t="n">
        <v>2026</v>
      </c>
      <c r="C115" s="2" t="s">
        <v>464</v>
      </c>
      <c r="D115" s="2" t="n">
        <v>36</v>
      </c>
      <c r="E115" s="11" t="n">
        <v>46265</v>
      </c>
      <c r="F115" s="2" t="s">
        <v>454</v>
      </c>
      <c r="G115" s="2" t="s">
        <v>63</v>
      </c>
      <c r="H115" s="12" t="n">
        <v>32</v>
      </c>
      <c r="I115" s="12" t="n">
        <v>6</v>
      </c>
      <c r="J115" s="12" t="n">
        <f aca="false">SUMIFS(Sessions!$I:$I,Sessions!$A:$A,$A115)</f>
        <v>10</v>
      </c>
      <c r="K115" s="12" t="n">
        <f aca="false">SUMIFS(Sessions!$I:$I,Sessions!$A:$A,$A115,Sessions!$B:$B,"ChatGPT")</f>
        <v>10</v>
      </c>
      <c r="L115" s="12" t="n">
        <f aca="false">SUMIFS(Sessions!$I:$I,Sessions!$A:$A,$A115,Sessions!$B:$B,"Claude")</f>
        <v>0</v>
      </c>
      <c r="M115" s="12" t="n">
        <f aca="false">SUMIFS(Sessions!$I:$I,Sessions!$A:$A,$A115,Sessions!$B:$B,"Gemini")</f>
        <v>0</v>
      </c>
      <c r="N115" s="12" t="n">
        <f aca="false">SUMIFS(Sessions!$I:$I,Sessions!$A:$A,$A115,Sessions!$B:$B,"Copilot")</f>
        <v>0</v>
      </c>
      <c r="O115" s="14" t="n">
        <f aca="false">IFERROR(J115/H115,"")</f>
        <v>0.3125</v>
      </c>
      <c r="P115" s="15" t="n">
        <f aca="false">IFERROR(N115/H115,"")</f>
        <v>0</v>
      </c>
      <c r="Q115" s="2" t="s">
        <v>455</v>
      </c>
    </row>
    <row r="116" customFormat="false" ht="15" hidden="false" customHeight="false" outlineLevel="0" collapsed="false">
      <c r="A116" s="11" t="n">
        <v>46270</v>
      </c>
      <c r="B116" s="2" t="n">
        <v>2026</v>
      </c>
      <c r="C116" s="2" t="s">
        <v>464</v>
      </c>
      <c r="D116" s="2" t="n">
        <v>36</v>
      </c>
      <c r="E116" s="11" t="n">
        <v>46265</v>
      </c>
      <c r="F116" s="2" t="s">
        <v>456</v>
      </c>
      <c r="G116" s="2" t="s">
        <v>75</v>
      </c>
      <c r="H116" s="12" t="n">
        <v>48</v>
      </c>
      <c r="I116" s="12" t="n">
        <v>7</v>
      </c>
      <c r="J116" s="12" t="n">
        <f aca="false">SUMIFS(Sessions!$I:$I,Sessions!$A:$A,$A116)</f>
        <v>3</v>
      </c>
      <c r="K116" s="12" t="n">
        <f aca="false">SUMIFS(Sessions!$I:$I,Sessions!$A:$A,$A116,Sessions!$B:$B,"ChatGPT")</f>
        <v>3</v>
      </c>
      <c r="L116" s="12" t="n">
        <f aca="false">SUMIFS(Sessions!$I:$I,Sessions!$A:$A,$A116,Sessions!$B:$B,"Claude")</f>
        <v>0</v>
      </c>
      <c r="M116" s="12" t="n">
        <f aca="false">SUMIFS(Sessions!$I:$I,Sessions!$A:$A,$A116,Sessions!$B:$B,"Gemini")</f>
        <v>0</v>
      </c>
      <c r="N116" s="12" t="n">
        <f aca="false">SUMIFS(Sessions!$I:$I,Sessions!$A:$A,$A116,Sessions!$B:$B,"Copilot")</f>
        <v>0</v>
      </c>
      <c r="O116" s="14" t="n">
        <f aca="false">IFERROR(J116/H116,"")</f>
        <v>0.0625</v>
      </c>
      <c r="P116" s="15" t="n">
        <f aca="false">IFERROR(N116/H116,"")</f>
        <v>0</v>
      </c>
      <c r="Q116" s="2" t="s">
        <v>455</v>
      </c>
    </row>
    <row r="117" customFormat="false" ht="15" hidden="false" customHeight="false" outlineLevel="0" collapsed="false">
      <c r="A117" s="11" t="n">
        <v>46271</v>
      </c>
      <c r="B117" s="2" t="n">
        <v>2026</v>
      </c>
      <c r="C117" s="2" t="s">
        <v>464</v>
      </c>
      <c r="D117" s="2" t="n">
        <v>36</v>
      </c>
      <c r="E117" s="11" t="n">
        <v>46265</v>
      </c>
      <c r="F117" s="2" t="s">
        <v>457</v>
      </c>
      <c r="G117" s="2" t="s">
        <v>75</v>
      </c>
      <c r="H117" s="12" t="n">
        <v>67</v>
      </c>
      <c r="I117" s="12" t="n">
        <v>14</v>
      </c>
      <c r="J117" s="12" t="n">
        <f aca="false">SUMIFS(Sessions!$I:$I,Sessions!$A:$A,$A117)</f>
        <v>7</v>
      </c>
      <c r="K117" s="12" t="n">
        <f aca="false">SUMIFS(Sessions!$I:$I,Sessions!$A:$A,$A117,Sessions!$B:$B,"ChatGPT")</f>
        <v>7</v>
      </c>
      <c r="L117" s="12" t="n">
        <f aca="false">SUMIFS(Sessions!$I:$I,Sessions!$A:$A,$A117,Sessions!$B:$B,"Claude")</f>
        <v>0</v>
      </c>
      <c r="M117" s="12" t="n">
        <f aca="false">SUMIFS(Sessions!$I:$I,Sessions!$A:$A,$A117,Sessions!$B:$B,"Gemini")</f>
        <v>0</v>
      </c>
      <c r="N117" s="12" t="n">
        <f aca="false">SUMIFS(Sessions!$I:$I,Sessions!$A:$A,$A117,Sessions!$B:$B,"Copilot")</f>
        <v>0</v>
      </c>
      <c r="O117" s="14" t="n">
        <f aca="false">IFERROR(J117/H117,"")</f>
        <v>0.104477611940299</v>
      </c>
      <c r="P117" s="15" t="n">
        <f aca="false">IFERROR(N117/H117,"")</f>
        <v>0</v>
      </c>
      <c r="Q117" s="2" t="s">
        <v>455</v>
      </c>
    </row>
    <row r="118" customFormat="false" ht="15" hidden="false" customHeight="false" outlineLevel="0" collapsed="false">
      <c r="A118" s="11" t="n">
        <v>46272</v>
      </c>
      <c r="B118" s="2" t="n">
        <v>2026</v>
      </c>
      <c r="C118" s="2" t="s">
        <v>464</v>
      </c>
      <c r="D118" s="2" t="n">
        <v>37</v>
      </c>
      <c r="E118" s="11" t="n">
        <v>46272</v>
      </c>
      <c r="F118" s="2" t="s">
        <v>458</v>
      </c>
      <c r="G118" s="2" t="s">
        <v>63</v>
      </c>
      <c r="H118" s="12" t="n">
        <v>104</v>
      </c>
      <c r="I118" s="12" t="n">
        <v>13</v>
      </c>
      <c r="J118" s="12" t="n">
        <f aca="false">SUMIFS(Sessions!$I:$I,Sessions!$A:$A,$A118)</f>
        <v>10</v>
      </c>
      <c r="K118" s="12" t="n">
        <f aca="false">SUMIFS(Sessions!$I:$I,Sessions!$A:$A,$A118,Sessions!$B:$B,"ChatGPT")</f>
        <v>10</v>
      </c>
      <c r="L118" s="12" t="n">
        <f aca="false">SUMIFS(Sessions!$I:$I,Sessions!$A:$A,$A118,Sessions!$B:$B,"Claude")</f>
        <v>0</v>
      </c>
      <c r="M118" s="12" t="n">
        <f aca="false">SUMIFS(Sessions!$I:$I,Sessions!$A:$A,$A118,Sessions!$B:$B,"Gemini")</f>
        <v>0</v>
      </c>
      <c r="N118" s="12" t="n">
        <f aca="false">SUMIFS(Sessions!$I:$I,Sessions!$A:$A,$A118,Sessions!$B:$B,"Copilot")</f>
        <v>0</v>
      </c>
      <c r="O118" s="14" t="n">
        <f aca="false">IFERROR(J118/H118,"")</f>
        <v>0.0961538461538462</v>
      </c>
      <c r="P118" s="15" t="n">
        <f aca="false">IFERROR(N118/H118,"")</f>
        <v>0</v>
      </c>
      <c r="Q118" s="2" t="s">
        <v>455</v>
      </c>
    </row>
    <row r="119" customFormat="false" ht="15" hidden="false" customHeight="false" outlineLevel="0" collapsed="false">
      <c r="A119" s="11" t="n">
        <v>46273</v>
      </c>
      <c r="B119" s="2" t="n">
        <v>2026</v>
      </c>
      <c r="C119" s="2" t="s">
        <v>464</v>
      </c>
      <c r="D119" s="2" t="n">
        <v>37</v>
      </c>
      <c r="E119" s="11" t="n">
        <v>46272</v>
      </c>
      <c r="F119" s="2" t="s">
        <v>459</v>
      </c>
      <c r="G119" s="2" t="s">
        <v>63</v>
      </c>
      <c r="H119" s="12" t="n">
        <v>121</v>
      </c>
      <c r="I119" s="12" t="n">
        <v>19</v>
      </c>
      <c r="J119" s="12" t="n">
        <f aca="false">SUMIFS(Sessions!$I:$I,Sessions!$A:$A,$A119)</f>
        <v>7</v>
      </c>
      <c r="K119" s="12" t="n">
        <f aca="false">SUMIFS(Sessions!$I:$I,Sessions!$A:$A,$A119,Sessions!$B:$B,"ChatGPT")</f>
        <v>7</v>
      </c>
      <c r="L119" s="12" t="n">
        <f aca="false">SUMIFS(Sessions!$I:$I,Sessions!$A:$A,$A119,Sessions!$B:$B,"Claude")</f>
        <v>0</v>
      </c>
      <c r="M119" s="12" t="n">
        <f aca="false">SUMIFS(Sessions!$I:$I,Sessions!$A:$A,$A119,Sessions!$B:$B,"Gemini")</f>
        <v>0</v>
      </c>
      <c r="N119" s="12" t="n">
        <f aca="false">SUMIFS(Sessions!$I:$I,Sessions!$A:$A,$A119,Sessions!$B:$B,"Copilot")</f>
        <v>0</v>
      </c>
      <c r="O119" s="14" t="n">
        <f aca="false">IFERROR(J119/H119,"")</f>
        <v>0.0578512396694215</v>
      </c>
      <c r="P119" s="15" t="n">
        <f aca="false">IFERROR(N119/H119,"")</f>
        <v>0</v>
      </c>
      <c r="Q119" s="2" t="s">
        <v>455</v>
      </c>
    </row>
    <row r="120" customFormat="false" ht="15" hidden="false" customHeight="false" outlineLevel="0" collapsed="false">
      <c r="A120" s="11" t="n">
        <v>46274</v>
      </c>
      <c r="B120" s="2" t="n">
        <v>2026</v>
      </c>
      <c r="C120" s="2" t="s">
        <v>464</v>
      </c>
      <c r="D120" s="2" t="n">
        <v>37</v>
      </c>
      <c r="E120" s="11" t="n">
        <v>46272</v>
      </c>
      <c r="F120" s="2" t="s">
        <v>460</v>
      </c>
      <c r="G120" s="2" t="s">
        <v>63</v>
      </c>
      <c r="H120" s="12"/>
      <c r="I120" s="12"/>
      <c r="J120" s="12" t="n">
        <f aca="false">SUMIFS(Sessions!$I:$I,Sessions!$A:$A,$A120)</f>
        <v>7</v>
      </c>
      <c r="K120" s="12" t="n">
        <f aca="false">SUMIFS(Sessions!$I:$I,Sessions!$A:$A,$A120,Sessions!$B:$B,"ChatGPT")</f>
        <v>7</v>
      </c>
      <c r="L120" s="12" t="n">
        <f aca="false">SUMIFS(Sessions!$I:$I,Sessions!$A:$A,$A120,Sessions!$B:$B,"Claude")</f>
        <v>0</v>
      </c>
      <c r="M120" s="12" t="n">
        <f aca="false">SUMIFS(Sessions!$I:$I,Sessions!$A:$A,$A120,Sessions!$B:$B,"Gemini")</f>
        <v>0</v>
      </c>
      <c r="N120" s="12" t="n">
        <f aca="false">SUMIFS(Sessions!$I:$I,Sessions!$A:$A,$A120,Sessions!$B:$B,"Copilot")</f>
        <v>0</v>
      </c>
      <c r="O120" s="14" t="str">
        <f aca="false">IFERROR(J120/H120,"")</f>
        <v/>
      </c>
      <c r="P120" s="15" t="str">
        <f aca="false">IFERROR(N120/H120,"")</f>
        <v/>
      </c>
      <c r="Q120" s="2" t="s">
        <v>465</v>
      </c>
    </row>
    <row r="121" customFormat="false" ht="15" hidden="false" customHeight="false" outlineLevel="0" collapsed="false">
      <c r="A121" s="11" t="n">
        <v>46275</v>
      </c>
      <c r="B121" s="2" t="n">
        <v>2026</v>
      </c>
      <c r="C121" s="2" t="s">
        <v>464</v>
      </c>
      <c r="D121" s="2" t="n">
        <v>37</v>
      </c>
      <c r="E121" s="11" t="n">
        <v>46272</v>
      </c>
      <c r="F121" s="2" t="s">
        <v>452</v>
      </c>
      <c r="G121" s="2" t="s">
        <v>63</v>
      </c>
      <c r="H121" s="12"/>
      <c r="I121" s="12"/>
      <c r="J121" s="12" t="n">
        <f aca="false">SUMIFS(Sessions!$I:$I,Sessions!$A:$A,$A121)</f>
        <v>11</v>
      </c>
      <c r="K121" s="12" t="n">
        <f aca="false">SUMIFS(Sessions!$I:$I,Sessions!$A:$A,$A121,Sessions!$B:$B,"ChatGPT")</f>
        <v>11</v>
      </c>
      <c r="L121" s="12" t="n">
        <f aca="false">SUMIFS(Sessions!$I:$I,Sessions!$A:$A,$A121,Sessions!$B:$B,"Claude")</f>
        <v>0</v>
      </c>
      <c r="M121" s="12" t="n">
        <f aca="false">SUMIFS(Sessions!$I:$I,Sessions!$A:$A,$A121,Sessions!$B:$B,"Gemini")</f>
        <v>0</v>
      </c>
      <c r="N121" s="12" t="n">
        <f aca="false">SUMIFS(Sessions!$I:$I,Sessions!$A:$A,$A121,Sessions!$B:$B,"Copilot")</f>
        <v>0</v>
      </c>
      <c r="O121" s="14" t="str">
        <f aca="false">IFERROR(J121/H121,"")</f>
        <v/>
      </c>
      <c r="P121" s="15" t="str">
        <f aca="false">IFERROR(N121/H121,"")</f>
        <v/>
      </c>
      <c r="Q121" s="2" t="s">
        <v>465</v>
      </c>
    </row>
    <row r="122" customFormat="false" ht="15" hidden="false" customHeight="false" outlineLevel="0" collapsed="false">
      <c r="A122" s="11" t="n">
        <v>46276</v>
      </c>
      <c r="B122" s="2" t="n">
        <v>2026</v>
      </c>
      <c r="C122" s="2" t="s">
        <v>464</v>
      </c>
      <c r="D122" s="2" t="n">
        <v>37</v>
      </c>
      <c r="E122" s="11" t="n">
        <v>46272</v>
      </c>
      <c r="F122" s="2" t="s">
        <v>454</v>
      </c>
      <c r="G122" s="2" t="s">
        <v>63</v>
      </c>
      <c r="H122" s="12"/>
      <c r="I122" s="12"/>
      <c r="J122" s="12" t="n">
        <f aca="false">SUMIFS(Sessions!$I:$I,Sessions!$A:$A,$A122)</f>
        <v>1</v>
      </c>
      <c r="K122" s="12" t="n">
        <f aca="false">SUMIFS(Sessions!$I:$I,Sessions!$A:$A,$A122,Sessions!$B:$B,"ChatGPT")</f>
        <v>1</v>
      </c>
      <c r="L122" s="12" t="n">
        <f aca="false">SUMIFS(Sessions!$I:$I,Sessions!$A:$A,$A122,Sessions!$B:$B,"Claude")</f>
        <v>0</v>
      </c>
      <c r="M122" s="12" t="n">
        <f aca="false">SUMIFS(Sessions!$I:$I,Sessions!$A:$A,$A122,Sessions!$B:$B,"Gemini")</f>
        <v>0</v>
      </c>
      <c r="N122" s="12" t="n">
        <f aca="false">SUMIFS(Sessions!$I:$I,Sessions!$A:$A,$A122,Sessions!$B:$B,"Copilot")</f>
        <v>0</v>
      </c>
      <c r="O122" s="14" t="str">
        <f aca="false">IFERROR(J122/H122,"")</f>
        <v/>
      </c>
      <c r="P122" s="15" t="str">
        <f aca="false">IFERROR(N122/H122,"")</f>
        <v/>
      </c>
      <c r="Q122" s="2" t="s">
        <v>465</v>
      </c>
    </row>
    <row r="123" customFormat="false" ht="15" hidden="false" customHeight="false" outlineLevel="0" collapsed="false">
      <c r="A123" s="16" t="s">
        <v>441</v>
      </c>
      <c r="B123" s="16"/>
      <c r="C123" s="16"/>
      <c r="D123" s="16"/>
      <c r="E123" s="16"/>
      <c r="F123" s="16"/>
      <c r="G123" s="16"/>
      <c r="H123" s="17" t="n">
        <f aca="false">SUBTOTAL(109,H2:H122)</f>
        <v>10465</v>
      </c>
      <c r="I123" s="20" t="n">
        <f aca="false">SUBTOTAL(101,I2:I122)</f>
        <v>12.5677966101695</v>
      </c>
      <c r="J123" s="17" t="n">
        <f aca="false">SUBTOTAL(109,J2:J122)</f>
        <v>443</v>
      </c>
      <c r="K123" s="17" t="n">
        <f aca="false">SUBTOTAL(109,K2:K122)</f>
        <v>401</v>
      </c>
      <c r="L123" s="17" t="n">
        <f aca="false">SUBTOTAL(109,L2:L122)</f>
        <v>22</v>
      </c>
      <c r="M123" s="17" t="n">
        <f aca="false">SUBTOTAL(109,M2:M122)</f>
        <v>17</v>
      </c>
      <c r="N123" s="17" t="n">
        <f aca="false">SUBTOTAL(109,N2:N122)</f>
        <v>3</v>
      </c>
      <c r="O123" s="18" t="n">
        <f aca="false">IFERROR(J123/H123,"")</f>
        <v>0.0423315814620162</v>
      </c>
      <c r="P123" s="19" t="n">
        <f aca="false">IFERROR(N123/H123,"")</f>
        <v>0.000286669851887243</v>
      </c>
      <c r="Q123" s="16"/>
    </row>
    <row r="124" customFormat="false" ht="15" hidden="false" customHeight="false" outlineLevel="0" collapsed="false">
      <c r="A124" s="2"/>
      <c r="B124" s="2"/>
      <c r="C124" s="2"/>
      <c r="D124" s="2"/>
      <c r="E124" s="2"/>
      <c r="F124" s="2"/>
      <c r="G124" s="2"/>
      <c r="H124" s="2"/>
      <c r="I124" s="2"/>
      <c r="J124" s="2"/>
      <c r="K124" s="2"/>
      <c r="L124" s="2"/>
      <c r="M124" s="2"/>
      <c r="N124" s="2"/>
      <c r="O124" s="2"/>
      <c r="P124" s="2"/>
      <c r="Q124" s="2"/>
    </row>
    <row r="125" customFormat="false" ht="15" hidden="false" customHeight="false" outlineLevel="0" collapsed="false">
      <c r="A125" s="13" t="s">
        <v>466</v>
      </c>
      <c r="B125" s="2"/>
      <c r="C125" s="2"/>
      <c r="D125" s="2"/>
      <c r="E125" s="2"/>
      <c r="F125" s="2"/>
      <c r="G125" s="2"/>
      <c r="H125" s="2"/>
      <c r="I125" s="2"/>
      <c r="J125" s="2"/>
      <c r="K125" s="2"/>
      <c r="L125" s="2"/>
      <c r="M125" s="2"/>
      <c r="N125" s="2"/>
      <c r="O125" s="2"/>
      <c r="P125" s="2"/>
      <c r="Q125" s="2"/>
    </row>
  </sheetData>
  <autoFilter ref="A1:Q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11"/>
    <col collapsed="false" customWidth="true" hidden="false" outlineLevel="0" max="4" min="4" style="0" width="13"/>
    <col collapsed="false" customWidth="true" hidden="false" outlineLevel="0" max="6" min="5" style="0" width="14"/>
    <col collapsed="false" customWidth="true" hidden="false" outlineLevel="0" max="7" min="7" style="0" width="10"/>
    <col collapsed="false" customWidth="true" hidden="false" outlineLevel="0" max="10" min="8" style="0" width="9"/>
    <col collapsed="false" customWidth="true" hidden="false" outlineLevel="0" max="11" min="11" style="0" width="14"/>
    <col collapsed="false" customWidth="true" hidden="false" outlineLevel="0" max="13" min="12" style="0" width="18"/>
    <col collapsed="false" customWidth="true" hidden="false" outlineLevel="0" max="14" min="14" style="0" width="14"/>
  </cols>
  <sheetData>
    <row r="1" customFormat="false" ht="30" hidden="false" customHeight="true" outlineLevel="0" collapsed="false">
      <c r="A1" s="10" t="s">
        <v>446</v>
      </c>
      <c r="B1" s="10" t="s">
        <v>467</v>
      </c>
      <c r="C1" s="10" t="s">
        <v>445</v>
      </c>
      <c r="D1" s="10" t="s">
        <v>468</v>
      </c>
      <c r="E1" s="10" t="s">
        <v>370</v>
      </c>
      <c r="F1" s="10" t="s">
        <v>371</v>
      </c>
      <c r="G1" s="10" t="s">
        <v>64</v>
      </c>
      <c r="H1" s="10" t="s">
        <v>58</v>
      </c>
      <c r="I1" s="10" t="s">
        <v>98</v>
      </c>
      <c r="J1" s="10" t="s">
        <v>86</v>
      </c>
      <c r="K1" s="10" t="s">
        <v>469</v>
      </c>
      <c r="L1" s="10" t="s">
        <v>470</v>
      </c>
      <c r="M1" s="10" t="s">
        <v>471</v>
      </c>
      <c r="N1" s="10" t="s">
        <v>472</v>
      </c>
    </row>
    <row r="2" customFormat="false" ht="15" hidden="false" customHeight="false" outlineLevel="0" collapsed="false">
      <c r="A2" s="11" t="n">
        <v>46153</v>
      </c>
      <c r="B2" s="11" t="n">
        <v>46159</v>
      </c>
      <c r="C2" s="2" t="s">
        <v>473</v>
      </c>
      <c r="D2" s="2" t="n">
        <v>4</v>
      </c>
      <c r="E2" s="12" t="n">
        <f aca="false">SUMIFS(Daily!$H:$H,Daily!$E:$E,$A2)</f>
        <v>259</v>
      </c>
      <c r="F2" s="12" t="n">
        <f aca="false">SUMIFS(Daily!$J:$J,Daily!$E:$E,$A2)</f>
        <v>2</v>
      </c>
      <c r="G2" s="12" t="n">
        <f aca="false">SUMIFS(Daily!$K:$K,Daily!$E:$E,$A2)</f>
        <v>1</v>
      </c>
      <c r="H2" s="12" t="n">
        <f aca="false">SUMIFS(Daily!$L:$L,Daily!$E:$E,$A2)</f>
        <v>1</v>
      </c>
      <c r="I2" s="12" t="n">
        <f aca="false">SUMIFS(Daily!$M:$M,Daily!$E:$E,$A2)</f>
        <v>0</v>
      </c>
      <c r="J2" s="12" t="n">
        <f aca="false">SUMIFS(Daily!$N:$N,Daily!$E:$E,$A2)</f>
        <v>0</v>
      </c>
      <c r="K2" s="14" t="n">
        <f aca="false">IFERROR(F2/E2,"")</f>
        <v>0.00772200772200772</v>
      </c>
      <c r="L2" s="14" t="n">
        <f aca="false">IFERROR(AVERAGEIFS(Daily!$O:$O,Daily!$E:$E,$A2),"")</f>
        <v>0.0182225063938619</v>
      </c>
      <c r="M2" s="21" t="n">
        <f aca="false">IFERROR(AVERAGEIFS(Daily!$I:$I,Daily!$E:$E,$A2),"")</f>
        <v>11</v>
      </c>
      <c r="N2" s="2" t="s">
        <v>474</v>
      </c>
    </row>
    <row r="3" customFormat="false" ht="15" hidden="false" customHeight="false" outlineLevel="0" collapsed="false">
      <c r="A3" s="11" t="n">
        <v>46160</v>
      </c>
      <c r="B3" s="11" t="n">
        <v>46166</v>
      </c>
      <c r="C3" s="2" t="s">
        <v>475</v>
      </c>
      <c r="D3" s="2" t="n">
        <v>7</v>
      </c>
      <c r="E3" s="12" t="n">
        <f aca="false">SUMIFS(Daily!$H:$H,Daily!$E:$E,$A3)</f>
        <v>349</v>
      </c>
      <c r="F3" s="12" t="n">
        <f aca="false">SUMIFS(Daily!$J:$J,Daily!$E:$E,$A3)</f>
        <v>10</v>
      </c>
      <c r="G3" s="12" t="n">
        <f aca="false">SUMIFS(Daily!$K:$K,Daily!$E:$E,$A3)</f>
        <v>8</v>
      </c>
      <c r="H3" s="12" t="n">
        <f aca="false">SUMIFS(Daily!$L:$L,Daily!$E:$E,$A3)</f>
        <v>1</v>
      </c>
      <c r="I3" s="12" t="n">
        <f aca="false">SUMIFS(Daily!$M:$M,Daily!$E:$E,$A3)</f>
        <v>0</v>
      </c>
      <c r="J3" s="12" t="n">
        <f aca="false">SUMIFS(Daily!$N:$N,Daily!$E:$E,$A3)</f>
        <v>1</v>
      </c>
      <c r="K3" s="14" t="n">
        <f aca="false">IFERROR(F3/E3,"")</f>
        <v>0.0286532951289398</v>
      </c>
      <c r="L3" s="14" t="n">
        <f aca="false">IFERROR(AVERAGEIFS(Daily!$O:$O,Daily!$E:$E,$A3),"")</f>
        <v>0.0265067363281649</v>
      </c>
      <c r="M3" s="21" t="n">
        <f aca="false">IFERROR(AVERAGEIFS(Daily!$I:$I,Daily!$E:$E,$A3),"")</f>
        <v>10.1428571428571</v>
      </c>
      <c r="N3" s="2" t="s">
        <v>75</v>
      </c>
    </row>
    <row r="4" customFormat="false" ht="15" hidden="false" customHeight="false" outlineLevel="0" collapsed="false">
      <c r="A4" s="11" t="n">
        <v>46167</v>
      </c>
      <c r="B4" s="11" t="n">
        <v>46173</v>
      </c>
      <c r="C4" s="2" t="s">
        <v>476</v>
      </c>
      <c r="D4" s="2" t="n">
        <v>7</v>
      </c>
      <c r="E4" s="12" t="n">
        <f aca="false">SUMIFS(Daily!$H:$H,Daily!$E:$E,$A4)</f>
        <v>314</v>
      </c>
      <c r="F4" s="12" t="n">
        <f aca="false">SUMIFS(Daily!$J:$J,Daily!$E:$E,$A4)</f>
        <v>15</v>
      </c>
      <c r="G4" s="12" t="n">
        <f aca="false">SUMIFS(Daily!$K:$K,Daily!$E:$E,$A4)</f>
        <v>10</v>
      </c>
      <c r="H4" s="12" t="n">
        <f aca="false">SUMIFS(Daily!$L:$L,Daily!$E:$E,$A4)</f>
        <v>2</v>
      </c>
      <c r="I4" s="12" t="n">
        <f aca="false">SUMIFS(Daily!$M:$M,Daily!$E:$E,$A4)</f>
        <v>3</v>
      </c>
      <c r="J4" s="12" t="n">
        <f aca="false">SUMIFS(Daily!$N:$N,Daily!$E:$E,$A4)</f>
        <v>0</v>
      </c>
      <c r="K4" s="14" t="n">
        <f aca="false">IFERROR(F4/E4,"")</f>
        <v>0.0477707006369427</v>
      </c>
      <c r="L4" s="14" t="n">
        <f aca="false">IFERROR(AVERAGEIFS(Daily!$O:$O,Daily!$E:$E,$A4),"")</f>
        <v>0.0442325648208001</v>
      </c>
      <c r="M4" s="21" t="n">
        <f aca="false">IFERROR(AVERAGEIFS(Daily!$I:$I,Daily!$E:$E,$A4),"")</f>
        <v>11.4285714285714</v>
      </c>
      <c r="N4" s="2" t="s">
        <v>75</v>
      </c>
    </row>
    <row r="5" customFormat="false" ht="15" hidden="false" customHeight="false" outlineLevel="0" collapsed="false">
      <c r="A5" s="11" t="n">
        <v>46174</v>
      </c>
      <c r="B5" s="11" t="n">
        <v>46180</v>
      </c>
      <c r="C5" s="2" t="s">
        <v>477</v>
      </c>
      <c r="D5" s="2" t="n">
        <v>7</v>
      </c>
      <c r="E5" s="12" t="n">
        <f aca="false">SUMIFS(Daily!$H:$H,Daily!$E:$E,$A5)</f>
        <v>897</v>
      </c>
      <c r="F5" s="12" t="n">
        <f aca="false">SUMIFS(Daily!$J:$J,Daily!$E:$E,$A5)</f>
        <v>10</v>
      </c>
      <c r="G5" s="12" t="n">
        <f aca="false">SUMIFS(Daily!$K:$K,Daily!$E:$E,$A5)</f>
        <v>9</v>
      </c>
      <c r="H5" s="12" t="n">
        <f aca="false">SUMIFS(Daily!$L:$L,Daily!$E:$E,$A5)</f>
        <v>0</v>
      </c>
      <c r="I5" s="12" t="n">
        <f aca="false">SUMIFS(Daily!$M:$M,Daily!$E:$E,$A5)</f>
        <v>0</v>
      </c>
      <c r="J5" s="12" t="n">
        <f aca="false">SUMIFS(Daily!$N:$N,Daily!$E:$E,$A5)</f>
        <v>1</v>
      </c>
      <c r="K5" s="14" t="n">
        <f aca="false">IFERROR(F5/E5,"")</f>
        <v>0.0111482720178372</v>
      </c>
      <c r="L5" s="14" t="n">
        <f aca="false">IFERROR(AVERAGEIFS(Daily!$O:$O,Daily!$E:$E,$A5),"")</f>
        <v>0.0138620032009946</v>
      </c>
      <c r="M5" s="21" t="n">
        <f aca="false">IFERROR(AVERAGEIFS(Daily!$I:$I,Daily!$E:$E,$A5),"")</f>
        <v>12.1428571428571</v>
      </c>
      <c r="N5" s="2" t="s">
        <v>75</v>
      </c>
    </row>
    <row r="6" customFormat="false" ht="15" hidden="false" customHeight="false" outlineLevel="0" collapsed="false">
      <c r="A6" s="11" t="n">
        <v>46181</v>
      </c>
      <c r="B6" s="11" t="n">
        <v>46187</v>
      </c>
      <c r="C6" s="2" t="s">
        <v>478</v>
      </c>
      <c r="D6" s="2" t="n">
        <v>7</v>
      </c>
      <c r="E6" s="12" t="n">
        <f aca="false">SUMIFS(Daily!$H:$H,Daily!$E:$E,$A6)</f>
        <v>554</v>
      </c>
      <c r="F6" s="12" t="n">
        <f aca="false">SUMIFS(Daily!$J:$J,Daily!$E:$E,$A6)</f>
        <v>8</v>
      </c>
      <c r="G6" s="12" t="n">
        <f aca="false">SUMIFS(Daily!$K:$K,Daily!$E:$E,$A6)</f>
        <v>4</v>
      </c>
      <c r="H6" s="12" t="n">
        <f aca="false">SUMIFS(Daily!$L:$L,Daily!$E:$E,$A6)</f>
        <v>0</v>
      </c>
      <c r="I6" s="12" t="n">
        <f aca="false">SUMIFS(Daily!$M:$M,Daily!$E:$E,$A6)</f>
        <v>4</v>
      </c>
      <c r="J6" s="12" t="n">
        <f aca="false">SUMIFS(Daily!$N:$N,Daily!$E:$E,$A6)</f>
        <v>0</v>
      </c>
      <c r="K6" s="14" t="n">
        <f aca="false">IFERROR(F6/E6,"")</f>
        <v>0.0144404332129964</v>
      </c>
      <c r="L6" s="14" t="n">
        <f aca="false">IFERROR(AVERAGEIFS(Daily!$O:$O,Daily!$E:$E,$A6),"")</f>
        <v>0.0198347830392561</v>
      </c>
      <c r="M6" s="21" t="n">
        <f aca="false">IFERROR(AVERAGEIFS(Daily!$I:$I,Daily!$E:$E,$A6),"")</f>
        <v>12.4285714285714</v>
      </c>
      <c r="N6" s="2" t="s">
        <v>75</v>
      </c>
    </row>
    <row r="7" customFormat="false" ht="15" hidden="false" customHeight="false" outlineLevel="0" collapsed="false">
      <c r="A7" s="11" t="n">
        <v>46188</v>
      </c>
      <c r="B7" s="11" t="n">
        <v>46194</v>
      </c>
      <c r="C7" s="2" t="s">
        <v>479</v>
      </c>
      <c r="D7" s="2" t="n">
        <v>7</v>
      </c>
      <c r="E7" s="12" t="n">
        <f aca="false">SUMIFS(Daily!$H:$H,Daily!$E:$E,$A7)</f>
        <v>710</v>
      </c>
      <c r="F7" s="12" t="n">
        <f aca="false">SUMIFS(Daily!$J:$J,Daily!$E:$E,$A7)</f>
        <v>7</v>
      </c>
      <c r="G7" s="12" t="n">
        <f aca="false">SUMIFS(Daily!$K:$K,Daily!$E:$E,$A7)</f>
        <v>3</v>
      </c>
      <c r="H7" s="12" t="n">
        <f aca="false">SUMIFS(Daily!$L:$L,Daily!$E:$E,$A7)</f>
        <v>3</v>
      </c>
      <c r="I7" s="12" t="n">
        <f aca="false">SUMIFS(Daily!$M:$M,Daily!$E:$E,$A7)</f>
        <v>1</v>
      </c>
      <c r="J7" s="12" t="n">
        <f aca="false">SUMIFS(Daily!$N:$N,Daily!$E:$E,$A7)</f>
        <v>0</v>
      </c>
      <c r="K7" s="14" t="n">
        <f aca="false">IFERROR(F7/E7,"")</f>
        <v>0.00985915492957747</v>
      </c>
      <c r="L7" s="14" t="n">
        <f aca="false">IFERROR(AVERAGEIFS(Daily!$O:$O,Daily!$E:$E,$A7),"")</f>
        <v>0.00857930879207475</v>
      </c>
      <c r="M7" s="21" t="n">
        <f aca="false">IFERROR(AVERAGEIFS(Daily!$I:$I,Daily!$E:$E,$A7),"")</f>
        <v>13.8571428571429</v>
      </c>
      <c r="N7" s="2" t="s">
        <v>75</v>
      </c>
    </row>
    <row r="8" customFormat="false" ht="15" hidden="false" customHeight="false" outlineLevel="0" collapsed="false">
      <c r="A8" s="11" t="n">
        <v>46195</v>
      </c>
      <c r="B8" s="11" t="n">
        <v>46201</v>
      </c>
      <c r="C8" s="2" t="s">
        <v>480</v>
      </c>
      <c r="D8" s="2" t="n">
        <v>7</v>
      </c>
      <c r="E8" s="12" t="n">
        <f aca="false">SUMIFS(Daily!$H:$H,Daily!$E:$E,$A8)</f>
        <v>597</v>
      </c>
      <c r="F8" s="12" t="n">
        <f aca="false">SUMIFS(Daily!$J:$J,Daily!$E:$E,$A8)</f>
        <v>11</v>
      </c>
      <c r="G8" s="12" t="n">
        <f aca="false">SUMIFS(Daily!$K:$K,Daily!$E:$E,$A8)</f>
        <v>5</v>
      </c>
      <c r="H8" s="12" t="n">
        <f aca="false">SUMIFS(Daily!$L:$L,Daily!$E:$E,$A8)</f>
        <v>2</v>
      </c>
      <c r="I8" s="12" t="n">
        <f aca="false">SUMIFS(Daily!$M:$M,Daily!$E:$E,$A8)</f>
        <v>4</v>
      </c>
      <c r="J8" s="12" t="n">
        <f aca="false">SUMIFS(Daily!$N:$N,Daily!$E:$E,$A8)</f>
        <v>0</v>
      </c>
      <c r="K8" s="14" t="n">
        <f aca="false">IFERROR(F8/E8,"")</f>
        <v>0.0184254606365159</v>
      </c>
      <c r="L8" s="14" t="n">
        <f aca="false">IFERROR(AVERAGEIFS(Daily!$O:$O,Daily!$E:$E,$A8),"")</f>
        <v>0.0219160550292586</v>
      </c>
      <c r="M8" s="21" t="n">
        <f aca="false">IFERROR(AVERAGEIFS(Daily!$I:$I,Daily!$E:$E,$A8),"")</f>
        <v>12.8571428571429</v>
      </c>
      <c r="N8" s="2" t="s">
        <v>75</v>
      </c>
    </row>
    <row r="9" customFormat="false" ht="15" hidden="false" customHeight="false" outlineLevel="0" collapsed="false">
      <c r="A9" s="11" t="n">
        <v>46202</v>
      </c>
      <c r="B9" s="11" t="n">
        <v>46208</v>
      </c>
      <c r="C9" s="2" t="s">
        <v>481</v>
      </c>
      <c r="D9" s="2" t="n">
        <v>7</v>
      </c>
      <c r="E9" s="12" t="n">
        <f aca="false">SUMIFS(Daily!$H:$H,Daily!$E:$E,$A9)</f>
        <v>483</v>
      </c>
      <c r="F9" s="12" t="n">
        <f aca="false">SUMIFS(Daily!$J:$J,Daily!$E:$E,$A9)</f>
        <v>9</v>
      </c>
      <c r="G9" s="12" t="n">
        <f aca="false">SUMIFS(Daily!$K:$K,Daily!$E:$E,$A9)</f>
        <v>8</v>
      </c>
      <c r="H9" s="12" t="n">
        <f aca="false">SUMIFS(Daily!$L:$L,Daily!$E:$E,$A9)</f>
        <v>1</v>
      </c>
      <c r="I9" s="12" t="n">
        <f aca="false">SUMIFS(Daily!$M:$M,Daily!$E:$E,$A9)</f>
        <v>0</v>
      </c>
      <c r="J9" s="12" t="n">
        <f aca="false">SUMIFS(Daily!$N:$N,Daily!$E:$E,$A9)</f>
        <v>0</v>
      </c>
      <c r="K9" s="14" t="n">
        <f aca="false">IFERROR(F9/E9,"")</f>
        <v>0.0186335403726708</v>
      </c>
      <c r="L9" s="14" t="n">
        <f aca="false">IFERROR(AVERAGEIFS(Daily!$O:$O,Daily!$E:$E,$A9),"")</f>
        <v>0.0334727265413026</v>
      </c>
      <c r="M9" s="21" t="n">
        <f aca="false">IFERROR(AVERAGEIFS(Daily!$I:$I,Daily!$E:$E,$A9),"")</f>
        <v>11.7142857142857</v>
      </c>
      <c r="N9" s="2" t="s">
        <v>75</v>
      </c>
    </row>
    <row r="10" customFormat="false" ht="15" hidden="false" customHeight="false" outlineLevel="0" collapsed="false">
      <c r="A10" s="11" t="n">
        <v>46209</v>
      </c>
      <c r="B10" s="11" t="n">
        <v>46215</v>
      </c>
      <c r="C10" s="2" t="s">
        <v>482</v>
      </c>
      <c r="D10" s="2" t="n">
        <v>7</v>
      </c>
      <c r="E10" s="12" t="n">
        <f aca="false">SUMIFS(Daily!$H:$H,Daily!$E:$E,$A10)</f>
        <v>427</v>
      </c>
      <c r="F10" s="12" t="n">
        <f aca="false">SUMIFS(Daily!$J:$J,Daily!$E:$E,$A10)</f>
        <v>8</v>
      </c>
      <c r="G10" s="12" t="n">
        <f aca="false">SUMIFS(Daily!$K:$K,Daily!$E:$E,$A10)</f>
        <v>7</v>
      </c>
      <c r="H10" s="12" t="n">
        <f aca="false">SUMIFS(Daily!$L:$L,Daily!$E:$E,$A10)</f>
        <v>0</v>
      </c>
      <c r="I10" s="12" t="n">
        <f aca="false">SUMIFS(Daily!$M:$M,Daily!$E:$E,$A10)</f>
        <v>1</v>
      </c>
      <c r="J10" s="12" t="n">
        <f aca="false">SUMIFS(Daily!$N:$N,Daily!$E:$E,$A10)</f>
        <v>0</v>
      </c>
      <c r="K10" s="14" t="n">
        <f aca="false">IFERROR(F10/E10,"")</f>
        <v>0.0187353629976581</v>
      </c>
      <c r="L10" s="14" t="n">
        <f aca="false">IFERROR(AVERAGEIFS(Daily!$O:$O,Daily!$E:$E,$A10),"")</f>
        <v>0.0194679007507979</v>
      </c>
      <c r="M10" s="21" t="n">
        <f aca="false">IFERROR(AVERAGEIFS(Daily!$I:$I,Daily!$E:$E,$A10),"")</f>
        <v>10.2857142857143</v>
      </c>
      <c r="N10" s="2" t="s">
        <v>75</v>
      </c>
    </row>
    <row r="11" customFormat="false" ht="15" hidden="false" customHeight="false" outlineLevel="0" collapsed="false">
      <c r="A11" s="11" t="n">
        <v>46216</v>
      </c>
      <c r="B11" s="11" t="n">
        <v>46222</v>
      </c>
      <c r="C11" s="2" t="s">
        <v>483</v>
      </c>
      <c r="D11" s="2" t="n">
        <v>7</v>
      </c>
      <c r="E11" s="12" t="n">
        <f aca="false">SUMIFS(Daily!$H:$H,Daily!$E:$E,$A11)</f>
        <v>522</v>
      </c>
      <c r="F11" s="12" t="n">
        <f aca="false">SUMIFS(Daily!$J:$J,Daily!$E:$E,$A11)</f>
        <v>11</v>
      </c>
      <c r="G11" s="12" t="n">
        <f aca="false">SUMIFS(Daily!$K:$K,Daily!$E:$E,$A11)</f>
        <v>11</v>
      </c>
      <c r="H11" s="12" t="n">
        <f aca="false">SUMIFS(Daily!$L:$L,Daily!$E:$E,$A11)</f>
        <v>0</v>
      </c>
      <c r="I11" s="12" t="n">
        <f aca="false">SUMIFS(Daily!$M:$M,Daily!$E:$E,$A11)</f>
        <v>0</v>
      </c>
      <c r="J11" s="12" t="n">
        <f aca="false">SUMIFS(Daily!$N:$N,Daily!$E:$E,$A11)</f>
        <v>0</v>
      </c>
      <c r="K11" s="14" t="n">
        <f aca="false">IFERROR(F11/E11,"")</f>
        <v>0.0210727969348659</v>
      </c>
      <c r="L11" s="14" t="n">
        <f aca="false">IFERROR(AVERAGEIFS(Daily!$O:$O,Daily!$E:$E,$A11),"")</f>
        <v>0.0413311168853041</v>
      </c>
      <c r="M11" s="21" t="n">
        <f aca="false">IFERROR(AVERAGEIFS(Daily!$I:$I,Daily!$E:$E,$A11),"")</f>
        <v>10.2857142857143</v>
      </c>
      <c r="N11" s="2" t="s">
        <v>75</v>
      </c>
    </row>
    <row r="12" customFormat="false" ht="15" hidden="false" customHeight="false" outlineLevel="0" collapsed="false">
      <c r="A12" s="11" t="n">
        <v>46223</v>
      </c>
      <c r="B12" s="11" t="n">
        <v>46229</v>
      </c>
      <c r="C12" s="2" t="s">
        <v>484</v>
      </c>
      <c r="D12" s="2" t="n">
        <v>7</v>
      </c>
      <c r="E12" s="12" t="n">
        <f aca="false">SUMIFS(Daily!$H:$H,Daily!$E:$E,$A12)</f>
        <v>737</v>
      </c>
      <c r="F12" s="12" t="n">
        <f aca="false">SUMIFS(Daily!$J:$J,Daily!$E:$E,$A12)</f>
        <v>23</v>
      </c>
      <c r="G12" s="12" t="n">
        <f aca="false">SUMIFS(Daily!$K:$K,Daily!$E:$E,$A12)</f>
        <v>21</v>
      </c>
      <c r="H12" s="12" t="n">
        <f aca="false">SUMIFS(Daily!$L:$L,Daily!$E:$E,$A12)</f>
        <v>2</v>
      </c>
      <c r="I12" s="12" t="n">
        <f aca="false">SUMIFS(Daily!$M:$M,Daily!$E:$E,$A12)</f>
        <v>0</v>
      </c>
      <c r="J12" s="12" t="n">
        <f aca="false">SUMIFS(Daily!$N:$N,Daily!$E:$E,$A12)</f>
        <v>0</v>
      </c>
      <c r="K12" s="14" t="n">
        <f aca="false">IFERROR(F12/E12,"")</f>
        <v>0.0312075983717775</v>
      </c>
      <c r="L12" s="14" t="n">
        <f aca="false">IFERROR(AVERAGEIFS(Daily!$O:$O,Daily!$E:$E,$A12),"")</f>
        <v>0.0356525081538475</v>
      </c>
      <c r="M12" s="21" t="n">
        <f aca="false">IFERROR(AVERAGEIFS(Daily!$I:$I,Daily!$E:$E,$A12),"")</f>
        <v>14</v>
      </c>
      <c r="N12" s="2" t="s">
        <v>75</v>
      </c>
    </row>
    <row r="13" customFormat="false" ht="15" hidden="false" customHeight="false" outlineLevel="0" collapsed="false">
      <c r="A13" s="11" t="n">
        <v>46230</v>
      </c>
      <c r="B13" s="11" t="n">
        <v>46236</v>
      </c>
      <c r="C13" s="2" t="s">
        <v>485</v>
      </c>
      <c r="D13" s="2" t="n">
        <v>7</v>
      </c>
      <c r="E13" s="12" t="n">
        <f aca="false">SUMIFS(Daily!$H:$H,Daily!$E:$E,$A13)</f>
        <v>1141</v>
      </c>
      <c r="F13" s="12" t="n">
        <f aca="false">SUMIFS(Daily!$J:$J,Daily!$E:$E,$A13)</f>
        <v>21</v>
      </c>
      <c r="G13" s="12" t="n">
        <f aca="false">SUMIFS(Daily!$K:$K,Daily!$E:$E,$A13)</f>
        <v>19</v>
      </c>
      <c r="H13" s="12" t="n">
        <f aca="false">SUMIFS(Daily!$L:$L,Daily!$E:$E,$A13)</f>
        <v>0</v>
      </c>
      <c r="I13" s="12" t="n">
        <f aca="false">SUMIFS(Daily!$M:$M,Daily!$E:$E,$A13)</f>
        <v>2</v>
      </c>
      <c r="J13" s="12" t="n">
        <f aca="false">SUMIFS(Daily!$N:$N,Daily!$E:$E,$A13)</f>
        <v>0</v>
      </c>
      <c r="K13" s="14" t="n">
        <f aca="false">IFERROR(F13/E13,"")</f>
        <v>0.0184049079754601</v>
      </c>
      <c r="L13" s="14" t="n">
        <f aca="false">IFERROR(AVERAGEIFS(Daily!$O:$O,Daily!$E:$E,$A13),"")</f>
        <v>0.025364034557664</v>
      </c>
      <c r="M13" s="21" t="n">
        <f aca="false">IFERROR(AVERAGEIFS(Daily!$I:$I,Daily!$E:$E,$A13),"")</f>
        <v>11.7142857142857</v>
      </c>
      <c r="N13" s="2" t="s">
        <v>75</v>
      </c>
    </row>
    <row r="14" customFormat="false" ht="15" hidden="false" customHeight="false" outlineLevel="0" collapsed="false">
      <c r="A14" s="11" t="n">
        <v>46237</v>
      </c>
      <c r="B14" s="11" t="n">
        <v>46243</v>
      </c>
      <c r="C14" s="2" t="s">
        <v>486</v>
      </c>
      <c r="D14" s="2" t="n">
        <v>7</v>
      </c>
      <c r="E14" s="12" t="n">
        <f aca="false">SUMIFS(Daily!$H:$H,Daily!$E:$E,$A14)</f>
        <v>702</v>
      </c>
      <c r="F14" s="12" t="n">
        <f aca="false">SUMIFS(Daily!$J:$J,Daily!$E:$E,$A14)</f>
        <v>21</v>
      </c>
      <c r="G14" s="12" t="n">
        <f aca="false">SUMIFS(Daily!$K:$K,Daily!$E:$E,$A14)</f>
        <v>19</v>
      </c>
      <c r="H14" s="12" t="n">
        <f aca="false">SUMIFS(Daily!$L:$L,Daily!$E:$E,$A14)</f>
        <v>2</v>
      </c>
      <c r="I14" s="12" t="n">
        <f aca="false">SUMIFS(Daily!$M:$M,Daily!$E:$E,$A14)</f>
        <v>0</v>
      </c>
      <c r="J14" s="12" t="n">
        <f aca="false">SUMIFS(Daily!$N:$N,Daily!$E:$E,$A14)</f>
        <v>0</v>
      </c>
      <c r="K14" s="14" t="n">
        <f aca="false">IFERROR(F14/E14,"")</f>
        <v>0.0299145299145299</v>
      </c>
      <c r="L14" s="14" t="n">
        <f aca="false">IFERROR(AVERAGEIFS(Daily!$O:$O,Daily!$E:$E,$A14),"")</f>
        <v>0.0336136201095247</v>
      </c>
      <c r="M14" s="21" t="n">
        <f aca="false">IFERROR(AVERAGEIFS(Daily!$I:$I,Daily!$E:$E,$A14),"")</f>
        <v>16.4285714285714</v>
      </c>
      <c r="N14" s="2" t="s">
        <v>75</v>
      </c>
    </row>
    <row r="15" customFormat="false" ht="15" hidden="false" customHeight="false" outlineLevel="0" collapsed="false">
      <c r="A15" s="11" t="n">
        <v>46244</v>
      </c>
      <c r="B15" s="11" t="n">
        <v>46250</v>
      </c>
      <c r="C15" s="2" t="s">
        <v>487</v>
      </c>
      <c r="D15" s="2" t="n">
        <v>7</v>
      </c>
      <c r="E15" s="12" t="n">
        <f aca="false">SUMIFS(Daily!$H:$H,Daily!$E:$E,$A15)</f>
        <v>649</v>
      </c>
      <c r="F15" s="12" t="n">
        <f aca="false">SUMIFS(Daily!$J:$J,Daily!$E:$E,$A15)</f>
        <v>70</v>
      </c>
      <c r="G15" s="12" t="n">
        <f aca="false">SUMIFS(Daily!$K:$K,Daily!$E:$E,$A15)</f>
        <v>68</v>
      </c>
      <c r="H15" s="12" t="n">
        <f aca="false">SUMIFS(Daily!$L:$L,Daily!$E:$E,$A15)</f>
        <v>0</v>
      </c>
      <c r="I15" s="12" t="n">
        <f aca="false">SUMIFS(Daily!$M:$M,Daily!$E:$E,$A15)</f>
        <v>2</v>
      </c>
      <c r="J15" s="12" t="n">
        <f aca="false">SUMIFS(Daily!$N:$N,Daily!$E:$E,$A15)</f>
        <v>0</v>
      </c>
      <c r="K15" s="14" t="n">
        <f aca="false">IFERROR(F15/E15,"")</f>
        <v>0.107858243451464</v>
      </c>
      <c r="L15" s="14" t="n">
        <f aca="false">IFERROR(AVERAGEIFS(Daily!$O:$O,Daily!$E:$E,$A15),"")</f>
        <v>0.104147213244024</v>
      </c>
      <c r="M15" s="21" t="n">
        <f aca="false">IFERROR(AVERAGEIFS(Daily!$I:$I,Daily!$E:$E,$A15),"")</f>
        <v>14.5714285714286</v>
      </c>
      <c r="N15" s="2" t="s">
        <v>75</v>
      </c>
    </row>
    <row r="16" customFormat="false" ht="15" hidden="false" customHeight="false" outlineLevel="0" collapsed="false">
      <c r="A16" s="11" t="n">
        <v>46251</v>
      </c>
      <c r="B16" s="11" t="n">
        <v>46257</v>
      </c>
      <c r="C16" s="2" t="s">
        <v>488</v>
      </c>
      <c r="D16" s="2" t="n">
        <v>7</v>
      </c>
      <c r="E16" s="12" t="n">
        <f aca="false">SUMIFS(Daily!$H:$H,Daily!$E:$E,$A16)</f>
        <v>461</v>
      </c>
      <c r="F16" s="12" t="n">
        <f aca="false">SUMIFS(Daily!$J:$J,Daily!$E:$E,$A16)</f>
        <v>67</v>
      </c>
      <c r="G16" s="12" t="n">
        <f aca="false">SUMIFS(Daily!$K:$K,Daily!$E:$E,$A16)</f>
        <v>62</v>
      </c>
      <c r="H16" s="12" t="n">
        <f aca="false">SUMIFS(Daily!$L:$L,Daily!$E:$E,$A16)</f>
        <v>4</v>
      </c>
      <c r="I16" s="12" t="n">
        <f aca="false">SUMIFS(Daily!$M:$M,Daily!$E:$E,$A16)</f>
        <v>0</v>
      </c>
      <c r="J16" s="12" t="n">
        <f aca="false">SUMIFS(Daily!$N:$N,Daily!$E:$E,$A16)</f>
        <v>1</v>
      </c>
      <c r="K16" s="14" t="n">
        <f aca="false">IFERROR(F16/E16,"")</f>
        <v>0.145336225596529</v>
      </c>
      <c r="L16" s="14" t="n">
        <f aca="false">IFERROR(AVERAGEIFS(Daily!$O:$O,Daily!$E:$E,$A16),"")</f>
        <v>0.198079369106748</v>
      </c>
      <c r="M16" s="21" t="n">
        <f aca="false">IFERROR(AVERAGEIFS(Daily!$I:$I,Daily!$E:$E,$A16),"")</f>
        <v>10.1428571428571</v>
      </c>
      <c r="N16" s="2" t="s">
        <v>75</v>
      </c>
    </row>
    <row r="17" customFormat="false" ht="15" hidden="false" customHeight="false" outlineLevel="0" collapsed="false">
      <c r="A17" s="11" t="n">
        <v>46258</v>
      </c>
      <c r="B17" s="11" t="n">
        <v>46264</v>
      </c>
      <c r="C17" s="2" t="s">
        <v>489</v>
      </c>
      <c r="D17" s="2" t="n">
        <v>7</v>
      </c>
      <c r="E17" s="12" t="n">
        <f aca="false">SUMIFS(Daily!$H:$H,Daily!$E:$E,$A17)</f>
        <v>747</v>
      </c>
      <c r="F17" s="12" t="n">
        <f aca="false">SUMIFS(Daily!$J:$J,Daily!$E:$E,$A17)</f>
        <v>51</v>
      </c>
      <c r="G17" s="12" t="n">
        <f aca="false">SUMIFS(Daily!$K:$K,Daily!$E:$E,$A17)</f>
        <v>47</v>
      </c>
      <c r="H17" s="12" t="n">
        <f aca="false">SUMIFS(Daily!$L:$L,Daily!$E:$E,$A17)</f>
        <v>4</v>
      </c>
      <c r="I17" s="12" t="n">
        <f aca="false">SUMIFS(Daily!$M:$M,Daily!$E:$E,$A17)</f>
        <v>0</v>
      </c>
      <c r="J17" s="12" t="n">
        <f aca="false">SUMIFS(Daily!$N:$N,Daily!$E:$E,$A17)</f>
        <v>0</v>
      </c>
      <c r="K17" s="14" t="n">
        <f aca="false">IFERROR(F17/E17,"")</f>
        <v>0.0682730923694779</v>
      </c>
      <c r="L17" s="14" t="n">
        <f aca="false">IFERROR(AVERAGEIFS(Daily!$O:$O,Daily!$E:$E,$A17),"")</f>
        <v>0.0676572171798425</v>
      </c>
      <c r="M17" s="21" t="n">
        <f aca="false">IFERROR(AVERAGEIFS(Daily!$I:$I,Daily!$E:$E,$A17),"")</f>
        <v>14.2857142857143</v>
      </c>
      <c r="N17" s="2" t="s">
        <v>75</v>
      </c>
    </row>
    <row r="18" customFormat="false" ht="15" hidden="false" customHeight="false" outlineLevel="0" collapsed="false">
      <c r="A18" s="11" t="n">
        <v>46265</v>
      </c>
      <c r="B18" s="11" t="n">
        <v>46271</v>
      </c>
      <c r="C18" s="2" t="s">
        <v>490</v>
      </c>
      <c r="D18" s="2" t="n">
        <v>7</v>
      </c>
      <c r="E18" s="12" t="n">
        <f aca="false">SUMIFS(Daily!$H:$H,Daily!$E:$E,$A18)</f>
        <v>691</v>
      </c>
      <c r="F18" s="12" t="n">
        <f aca="false">SUMIFS(Daily!$J:$J,Daily!$E:$E,$A18)</f>
        <v>63</v>
      </c>
      <c r="G18" s="12" t="n">
        <f aca="false">SUMIFS(Daily!$K:$K,Daily!$E:$E,$A18)</f>
        <v>63</v>
      </c>
      <c r="H18" s="12" t="n">
        <f aca="false">SUMIFS(Daily!$L:$L,Daily!$E:$E,$A18)</f>
        <v>0</v>
      </c>
      <c r="I18" s="12" t="n">
        <f aca="false">SUMIFS(Daily!$M:$M,Daily!$E:$E,$A18)</f>
        <v>0</v>
      </c>
      <c r="J18" s="12" t="n">
        <f aca="false">SUMIFS(Daily!$N:$N,Daily!$E:$E,$A18)</f>
        <v>0</v>
      </c>
      <c r="K18" s="14" t="n">
        <f aca="false">IFERROR(F18/E18,"")</f>
        <v>0.0911722141823444</v>
      </c>
      <c r="L18" s="14" t="n">
        <f aca="false">IFERROR(AVERAGEIFS(Daily!$O:$O,Daily!$E:$E,$A18),"")</f>
        <v>0.115554926366851</v>
      </c>
      <c r="M18" s="21" t="n">
        <f aca="false">IFERROR(AVERAGEIFS(Daily!$I:$I,Daily!$E:$E,$A18),"")</f>
        <v>14.7142857142857</v>
      </c>
      <c r="N18" s="2" t="s">
        <v>75</v>
      </c>
    </row>
    <row r="19" customFormat="false" ht="15" hidden="false" customHeight="false" outlineLevel="0" collapsed="false">
      <c r="A19" s="11" t="n">
        <v>46272</v>
      </c>
      <c r="B19" s="11" t="n">
        <v>46278</v>
      </c>
      <c r="C19" s="2" t="s">
        <v>491</v>
      </c>
      <c r="D19" s="2" t="n">
        <v>5</v>
      </c>
      <c r="E19" s="12" t="n">
        <f aca="false">SUMIFS(Daily!$H:$H,Daily!$E:$E,$A19)</f>
        <v>225</v>
      </c>
      <c r="F19" s="12" t="n">
        <f aca="false">SUMIFS(Daily!$J:$J,Daily!$E:$E,$A19)</f>
        <v>36</v>
      </c>
      <c r="G19" s="12" t="n">
        <f aca="false">SUMIFS(Daily!$K:$K,Daily!$E:$E,$A19)</f>
        <v>36</v>
      </c>
      <c r="H19" s="12" t="n">
        <f aca="false">SUMIFS(Daily!$L:$L,Daily!$E:$E,$A19)</f>
        <v>0</v>
      </c>
      <c r="I19" s="12" t="n">
        <f aca="false">SUMIFS(Daily!$M:$M,Daily!$E:$E,$A19)</f>
        <v>0</v>
      </c>
      <c r="J19" s="12" t="n">
        <f aca="false">SUMIFS(Daily!$N:$N,Daily!$E:$E,$A19)</f>
        <v>0</v>
      </c>
      <c r="K19" s="14" t="n">
        <f aca="false">IFERROR(F19/E19,"")</f>
        <v>0.16</v>
      </c>
      <c r="L19" s="14" t="n">
        <f aca="false">IFERROR(AVERAGEIFS(Daily!$O:$O,Daily!$E:$E,$A19),"")</f>
        <v>0.0770025429116338</v>
      </c>
      <c r="M19" s="21" t="n">
        <f aca="false">IFERROR(AVERAGEIFS(Daily!$I:$I,Daily!$E:$E,$A19),"")</f>
        <v>16</v>
      </c>
      <c r="N19" s="2" t="s">
        <v>474</v>
      </c>
    </row>
    <row r="20" customFormat="false" ht="15" hidden="false" customHeight="false" outlineLevel="0" collapsed="false">
      <c r="A20" s="16" t="s">
        <v>441</v>
      </c>
      <c r="B20" s="16"/>
      <c r="C20" s="16"/>
      <c r="D20" s="16"/>
      <c r="E20" s="17" t="n">
        <f aca="false">SUBTOTAL(109,E2:E19)</f>
        <v>10465</v>
      </c>
      <c r="F20" s="17" t="n">
        <f aca="false">SUBTOTAL(109,F2:F19)</f>
        <v>443</v>
      </c>
      <c r="G20" s="17" t="n">
        <f aca="false">SUBTOTAL(109,G2:G19)</f>
        <v>401</v>
      </c>
      <c r="H20" s="17" t="n">
        <f aca="false">SUBTOTAL(109,H2:H19)</f>
        <v>22</v>
      </c>
      <c r="I20" s="17" t="n">
        <f aca="false">SUBTOTAL(109,I2:I19)</f>
        <v>17</v>
      </c>
      <c r="J20" s="17" t="n">
        <f aca="false">SUBTOTAL(109,J2:J19)</f>
        <v>3</v>
      </c>
      <c r="K20" s="18" t="n">
        <f aca="false">IFERROR(F20/E20,"")</f>
        <v>0.0423315814620162</v>
      </c>
      <c r="L20" s="18" t="n">
        <f aca="false">SUBTOTAL(101,L2:L19)</f>
        <v>0.0502498407451084</v>
      </c>
      <c r="M20" s="16"/>
      <c r="N20" s="16"/>
    </row>
    <row r="21" customFormat="false" ht="15" hidden="false" customHeight="false" outlineLevel="0" collapsed="false">
      <c r="A21" s="2"/>
      <c r="B21" s="2"/>
      <c r="C21" s="2"/>
      <c r="D21" s="2"/>
      <c r="E21" s="2"/>
      <c r="F21" s="2"/>
      <c r="G21" s="2"/>
      <c r="H21" s="2"/>
      <c r="I21" s="2"/>
      <c r="J21" s="2"/>
      <c r="K21" s="2"/>
      <c r="L21" s="2"/>
      <c r="M21" s="2"/>
      <c r="N21" s="2"/>
    </row>
    <row r="22" customFormat="false" ht="15" hidden="false" customHeight="false" outlineLevel="0" collapsed="false">
      <c r="A22" s="13" t="s">
        <v>492</v>
      </c>
      <c r="B22" s="2"/>
      <c r="C22" s="2"/>
      <c r="D22" s="2"/>
      <c r="E22" s="2"/>
      <c r="F22" s="2"/>
      <c r="G22" s="2"/>
      <c r="H22" s="2"/>
      <c r="I22" s="2"/>
      <c r="J22" s="2"/>
      <c r="K22" s="2"/>
      <c r="L22" s="2"/>
      <c r="M22" s="2"/>
      <c r="N22" s="2"/>
    </row>
  </sheetData>
  <autoFilter ref="A1:N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8"/>
    <col collapsed="false" customWidth="true" hidden="false" outlineLevel="0" max="4" min="4" style="0" width="22"/>
    <col collapsed="false" customWidth="true" hidden="false" outlineLevel="0" max="6" min="5" style="0" width="14"/>
  </cols>
  <sheetData>
    <row r="1" customFormat="false" ht="30" hidden="false" customHeight="true" outlineLevel="0" collapsed="false">
      <c r="A1" s="10" t="s">
        <v>49</v>
      </c>
      <c r="B1" s="10" t="s">
        <v>56</v>
      </c>
      <c r="C1" s="10" t="s">
        <v>375</v>
      </c>
      <c r="D1" s="10" t="s">
        <v>493</v>
      </c>
      <c r="E1" s="10" t="s">
        <v>377</v>
      </c>
      <c r="F1" s="10" t="s">
        <v>378</v>
      </c>
    </row>
    <row r="2" customFormat="false" ht="15" hidden="false" customHeight="false" outlineLevel="0" collapsed="false">
      <c r="A2" s="2" t="s">
        <v>64</v>
      </c>
      <c r="B2" s="12" t="n">
        <f aca="false">SUMIFS(Sessions!$I:$I,Sessions!$B:$B,"ChatGPT")</f>
        <v>401</v>
      </c>
      <c r="C2" s="14" t="n">
        <f aca="false">IFERROR(B2/$B$6,0)</f>
        <v>0.905191873589165</v>
      </c>
      <c r="D2" s="12" t="n">
        <v>70</v>
      </c>
      <c r="E2" s="11" t="n">
        <f aca="false">_xlfn.MINIFS(Sessions!$A:$A,Sessions!$B:$B,"ChatGPT")</f>
        <v>46158</v>
      </c>
      <c r="F2" s="11" t="n">
        <f aca="false">_xlfn.MAXIFS(Sessions!$A:$A,Sessions!$B:$B,"ChatGPT")</f>
        <v>46276</v>
      </c>
    </row>
    <row r="3" customFormat="false" ht="15" hidden="false" customHeight="false" outlineLevel="0" collapsed="false">
      <c r="A3" s="2" t="s">
        <v>58</v>
      </c>
      <c r="B3" s="12" t="n">
        <f aca="false">SUMIFS(Sessions!$I:$I,Sessions!$B:$B,"Claude")</f>
        <v>22</v>
      </c>
      <c r="C3" s="14" t="n">
        <f aca="false">IFERROR(B3/$B$6,0)</f>
        <v>0.0496613995485327</v>
      </c>
      <c r="D3" s="12" t="n">
        <v>14</v>
      </c>
      <c r="E3" s="11" t="n">
        <f aca="false">_xlfn.MINIFS(Sessions!$A:$A,Sessions!$B:$B,"Claude")</f>
        <v>46157</v>
      </c>
      <c r="F3" s="11" t="n">
        <f aca="false">_xlfn.MAXIFS(Sessions!$A:$A,Sessions!$B:$B,"Claude")</f>
        <v>46262</v>
      </c>
    </row>
    <row r="4" customFormat="false" ht="15" hidden="false" customHeight="false" outlineLevel="0" collapsed="false">
      <c r="A4" s="2" t="s">
        <v>98</v>
      </c>
      <c r="B4" s="12" t="n">
        <f aca="false">SUMIFS(Sessions!$I:$I,Sessions!$B:$B,"Gemini")</f>
        <v>17</v>
      </c>
      <c r="C4" s="14" t="n">
        <f aca="false">IFERROR(B4/$B$6,0)</f>
        <v>0.0383747178329571</v>
      </c>
      <c r="D4" s="12" t="n">
        <v>9</v>
      </c>
      <c r="E4" s="11" t="n">
        <f aca="false">_xlfn.MINIFS(Sessions!$A:$A,Sessions!$B:$B,"Gemini")</f>
        <v>46168</v>
      </c>
      <c r="F4" s="11" t="n">
        <f aca="false">_xlfn.MAXIFS(Sessions!$A:$A,Sessions!$B:$B,"Gemini")</f>
        <v>46244</v>
      </c>
    </row>
    <row r="5" customFormat="false" ht="15" hidden="false" customHeight="false" outlineLevel="0" collapsed="false">
      <c r="A5" s="2" t="s">
        <v>86</v>
      </c>
      <c r="B5" s="12" t="n">
        <f aca="false">SUMIFS(Sessions!$I:$I,Sessions!$B:$B,"Copilot")</f>
        <v>3</v>
      </c>
      <c r="C5" s="14" t="n">
        <f aca="false">IFERROR(B5/$B$6,0)</f>
        <v>0.00677200902934537</v>
      </c>
      <c r="D5" s="12" t="n">
        <v>2</v>
      </c>
      <c r="E5" s="11" t="n">
        <f aca="false">_xlfn.MINIFS(Sessions!$A:$A,Sessions!$B:$B,"Copilot")</f>
        <v>46164</v>
      </c>
      <c r="F5" s="11" t="n">
        <f aca="false">_xlfn.MAXIFS(Sessions!$A:$A,Sessions!$B:$B,"Copilot")</f>
        <v>46254</v>
      </c>
    </row>
    <row r="6" customFormat="false" ht="15" hidden="false" customHeight="false" outlineLevel="0" collapsed="false">
      <c r="A6" s="16" t="s">
        <v>494</v>
      </c>
      <c r="B6" s="17" t="n">
        <f aca="false">SUM(B2:B5)</f>
        <v>443</v>
      </c>
      <c r="C6" s="18" t="n">
        <f aca="false">SUM(C2:C5)</f>
        <v>1</v>
      </c>
      <c r="D6" s="17" t="n">
        <v>75</v>
      </c>
      <c r="E6" s="16"/>
      <c r="F6" s="16"/>
    </row>
    <row r="7" customFormat="false" ht="15" hidden="false" customHeight="false" outlineLevel="0" collapsed="false">
      <c r="A7" s="2"/>
      <c r="B7" s="2"/>
      <c r="C7" s="2"/>
      <c r="D7" s="2"/>
      <c r="E7" s="2"/>
      <c r="F7" s="2"/>
    </row>
    <row r="8" customFormat="false" ht="15" hidden="false" customHeight="false" outlineLevel="0" collapsed="false">
      <c r="A8" s="13" t="s">
        <v>495</v>
      </c>
      <c r="B8" s="2"/>
      <c r="C8" s="2"/>
      <c r="D8" s="2"/>
      <c r="E8" s="2"/>
      <c r="F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2026-09-11T01:13:30Z</dcterms:created>
  <dc:creator>openpyxl</dc:creator>
  <dc:description/>
  <dc:language>en-US</dc:language>
  <cp:lastModifiedBy/>
  <dcterms:modified xsi:type="dcterms:W3CDTF">2026-09-11T01:13:30Z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